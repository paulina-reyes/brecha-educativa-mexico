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46F273EB-3493-4019-B117-24F6C55F158A}" xr6:coauthVersionLast="47" xr6:coauthVersionMax="47" xr10:uidLastSave="{00000000-0000-0000-0000-000000000000}"/>
  <bookViews>
    <workbookView xWindow="-120" yWindow="-120" windowWidth="29040" windowHeight="15840" xr2:uid="{781C8E43-5CF8-466B-903D-DFAC8DDAEA44}"/>
  </bookViews>
  <sheets>
    <sheet name="Est Mich" sheetId="1" r:id="rId1"/>
    <sheet name="MICH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Mich'!$A$1:$F$74</definedName>
    <definedName name="_xlnm.Print_Area" localSheetId="1">MICH!$A$1:$F$57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C20" i="1"/>
  <c r="B20" i="1" s="1"/>
  <c r="D20" i="1"/>
  <c r="D17" i="1" s="1"/>
  <c r="E20" i="1"/>
  <c r="E17" i="1" s="1"/>
  <c r="F20" i="1"/>
  <c r="C21" i="1"/>
  <c r="C18" i="1" s="1"/>
  <c r="D21" i="1"/>
  <c r="D18" i="1" s="1"/>
  <c r="D15" i="1" s="1"/>
  <c r="E21" i="1"/>
  <c r="E18" i="1" s="1"/>
  <c r="E15" i="1" s="1"/>
  <c r="F21" i="1"/>
  <c r="F19" i="1" s="1"/>
  <c r="C22" i="1"/>
  <c r="B22" i="1" s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B39" i="1"/>
  <c r="C39" i="1"/>
  <c r="D39" i="1"/>
  <c r="E39" i="1"/>
  <c r="F39" i="1"/>
  <c r="B40" i="1"/>
  <c r="B41" i="1"/>
  <c r="B42" i="1"/>
  <c r="B43" i="1"/>
  <c r="B44" i="1"/>
  <c r="C45" i="1"/>
  <c r="D45" i="1"/>
  <c r="B45" i="1" s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E59" i="1"/>
  <c r="C60" i="1"/>
  <c r="C59" i="1" s="1"/>
  <c r="D60" i="1"/>
  <c r="E60" i="1"/>
  <c r="F60" i="1"/>
  <c r="F59" i="1" s="1"/>
  <c r="C61" i="1"/>
  <c r="D61" i="1"/>
  <c r="B61" i="1" s="1"/>
  <c r="E61" i="1"/>
  <c r="F61" i="1"/>
  <c r="B62" i="1"/>
  <c r="C62" i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B59" i="1" l="1"/>
  <c r="C15" i="1"/>
  <c r="B15" i="1" s="1"/>
  <c r="B18" i="1"/>
  <c r="E16" i="1"/>
  <c r="E13" i="1" s="1"/>
  <c r="E14" i="1"/>
  <c r="D16" i="1"/>
  <c r="D13" i="1" s="1"/>
  <c r="D14" i="1"/>
  <c r="F16" i="1"/>
  <c r="F13" i="1" s="1"/>
  <c r="E19" i="1"/>
  <c r="C17" i="1"/>
  <c r="F14" i="1"/>
  <c r="D19" i="1"/>
  <c r="B60" i="1"/>
  <c r="C19" i="1"/>
  <c r="F18" i="1"/>
  <c r="F15" i="1" s="1"/>
  <c r="D59" i="1"/>
  <c r="B21" i="1"/>
  <c r="C16" i="1" l="1"/>
  <c r="C14" i="1"/>
  <c r="B14" i="1" s="1"/>
  <c r="B17" i="1"/>
  <c r="B19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<sst xmlns="http://schemas.openxmlformats.org/spreadsheetml/2006/main" count="133" uniqueCount="78">
  <si>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</si>
  <si>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</si>
  <si>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</si>
  <si>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</si>
  <si>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</si>
  <si>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</si>
  <si>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</si>
  <si>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</si>
  <si>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</si>
  <si>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</si>
  <si>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</si>
  <si>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</si>
  <si>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</si>
  <si>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</si>
  <si>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</si>
  <si>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</si>
  <si>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</si>
  <si>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</si>
  <si>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</si>
  <si>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</si>
  <si>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</si>
  <si>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</si>
  <si>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</si>
  <si>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</si>
  <si>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</si>
  <si>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</si>
  <si>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</si>
  <si>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</si>
  <si>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</si>
  <si>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</si>
  <si>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</si>
  <si>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</si>
  <si>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</si>
  <si>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</si>
  <si>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</si>
  <si>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</si>
  <si>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</si>
  <si>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</si>
  <si>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Michoacán de Ocampo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</si>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</sst>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12D67FC2-939E-45EF-857F-07428F8A0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FC06F569-0808-4899-AD20-86CBB2F94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3578A6BC-5863-4660-8B71-B1759768C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8474-31F7-4C23-9A5C-36DBA1ECFA87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4" t="s">
        <v>39</v>
      </c>
      <c r="B7" s="144"/>
      <c r="C7" s="144"/>
      <c r="D7" s="144"/>
      <c r="E7" s="144"/>
      <c r="F7" s="144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4" t="s">
        <v>38</v>
      </c>
      <c r="B8" s="144"/>
      <c r="C8" s="144"/>
      <c r="D8" s="144"/>
      <c r="E8" s="144"/>
      <c r="F8" s="144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5" t="s">
        <v>37</v>
      </c>
      <c r="B11" s="147" t="s">
        <v>36</v>
      </c>
      <c r="C11" s="147"/>
      <c r="D11" s="147"/>
      <c r="E11" s="148" t="s">
        <v>35</v>
      </c>
      <c r="F11" s="148" t="s">
        <v>34</v>
      </c>
    </row>
    <row r="12" spans="1:16" ht="15" customHeight="1" x14ac:dyDescent="0.35">
      <c r="A12" s="146"/>
      <c r="B12" s="83" t="s">
        <v>33</v>
      </c>
      <c r="C12" s="83" t="s">
        <v>32</v>
      </c>
      <c r="D12" s="83" t="s">
        <v>31</v>
      </c>
      <c r="E12" s="146"/>
      <c r="F12" s="146"/>
    </row>
    <row r="13" spans="1:16" ht="18" customHeight="1" x14ac:dyDescent="0.35">
      <c r="A13" s="82" t="s">
        <v>30</v>
      </c>
      <c r="B13" s="81">
        <f t="shared" ref="B13:B44" si="0">C13+D13</f>
        <v>1231818</v>
      </c>
      <c r="C13" s="81">
        <f>C16+C62+C68</f>
        <v>627943</v>
      </c>
      <c r="D13" s="81">
        <f>D16+D62+D68</f>
        <v>603875</v>
      </c>
      <c r="E13" s="81">
        <f>E16+E62+E68</f>
        <v>83552</v>
      </c>
      <c r="F13" s="81">
        <f>F16+F62+F68</f>
        <v>12469</v>
      </c>
    </row>
    <row r="14" spans="1:16" ht="18" customHeight="1" x14ac:dyDescent="0.35">
      <c r="A14" s="42" t="s">
        <v>3</v>
      </c>
      <c r="B14" s="41">
        <f t="shared" si="0"/>
        <v>1058643</v>
      </c>
      <c r="C14" s="41">
        <f t="shared" ref="C14:F15" si="1">C17+C66+C71</f>
        <v>536426</v>
      </c>
      <c r="D14" s="41">
        <f t="shared" si="1"/>
        <v>522217</v>
      </c>
      <c r="E14" s="41">
        <f t="shared" si="1"/>
        <v>65731</v>
      </c>
      <c r="F14" s="41">
        <f t="shared" si="1"/>
        <v>10765</v>
      </c>
    </row>
    <row r="15" spans="1:16" ht="18" customHeight="1" x14ac:dyDescent="0.35">
      <c r="A15" s="40" t="s">
        <v>2</v>
      </c>
      <c r="B15" s="39">
        <f t="shared" si="0"/>
        <v>173175</v>
      </c>
      <c r="C15" s="39">
        <f t="shared" si="1"/>
        <v>91517</v>
      </c>
      <c r="D15" s="39">
        <f t="shared" si="1"/>
        <v>81658</v>
      </c>
      <c r="E15" s="39">
        <f t="shared" si="1"/>
        <v>17821</v>
      </c>
      <c r="F15" s="39">
        <f t="shared" si="1"/>
        <v>1704</v>
      </c>
    </row>
    <row r="16" spans="1:16" ht="18" customHeight="1" x14ac:dyDescent="0.35">
      <c r="A16" s="45" t="s">
        <v>29</v>
      </c>
      <c r="B16" s="44">
        <f t="shared" si="0"/>
        <v>1210031</v>
      </c>
      <c r="C16" s="44">
        <f>C17+C18</f>
        <v>615183</v>
      </c>
      <c r="D16" s="44">
        <f>D17+D18</f>
        <v>594848</v>
      </c>
      <c r="E16" s="44">
        <f>E17+E18</f>
        <v>80768</v>
      </c>
      <c r="F16" s="43">
        <f>F17+F18</f>
        <v>12346</v>
      </c>
    </row>
    <row r="17" spans="1:6" ht="18" customHeight="1" x14ac:dyDescent="0.35">
      <c r="A17" s="42" t="s">
        <v>3</v>
      </c>
      <c r="B17" s="41">
        <f t="shared" si="0"/>
        <v>1051330</v>
      </c>
      <c r="C17" s="41">
        <f t="shared" ref="C17:F18" si="2">C20+C50+C57</f>
        <v>532032</v>
      </c>
      <c r="D17" s="41">
        <f t="shared" si="2"/>
        <v>519298</v>
      </c>
      <c r="E17" s="41">
        <f t="shared" si="2"/>
        <v>64876</v>
      </c>
      <c r="F17" s="41">
        <f t="shared" si="2"/>
        <v>10747</v>
      </c>
    </row>
    <row r="18" spans="1:6" ht="18" customHeight="1" x14ac:dyDescent="0.35">
      <c r="A18" s="40" t="s">
        <v>2</v>
      </c>
      <c r="B18" s="39">
        <f t="shared" si="0"/>
        <v>158701</v>
      </c>
      <c r="C18" s="39">
        <f t="shared" si="2"/>
        <v>83151</v>
      </c>
      <c r="D18" s="39">
        <f t="shared" si="2"/>
        <v>75550</v>
      </c>
      <c r="E18" s="39">
        <f t="shared" si="2"/>
        <v>15892</v>
      </c>
      <c r="F18" s="39">
        <f t="shared" si="2"/>
        <v>1599</v>
      </c>
    </row>
    <row r="19" spans="1:6" ht="18" customHeight="1" x14ac:dyDescent="0.35">
      <c r="A19" s="80" t="s">
        <v>28</v>
      </c>
      <c r="B19" s="79">
        <f t="shared" si="0"/>
        <v>942548</v>
      </c>
      <c r="C19" s="79">
        <f>C20+C21</f>
        <v>469455</v>
      </c>
      <c r="D19" s="79">
        <f>D20+D21</f>
        <v>473093</v>
      </c>
      <c r="E19" s="79">
        <f>E20+E21</f>
        <v>54607</v>
      </c>
      <c r="F19" s="78">
        <f>F20+F21</f>
        <v>11294</v>
      </c>
    </row>
    <row r="20" spans="1:6" ht="18" customHeight="1" x14ac:dyDescent="0.35">
      <c r="A20" s="42" t="s">
        <v>3</v>
      </c>
      <c r="B20" s="41">
        <f t="shared" si="0"/>
        <v>839010</v>
      </c>
      <c r="C20" s="41">
        <f t="shared" ref="C20:F21" si="3">C25+C31+C37+C43</f>
        <v>417689</v>
      </c>
      <c r="D20" s="41">
        <f t="shared" si="3"/>
        <v>421321</v>
      </c>
      <c r="E20" s="41">
        <f t="shared" si="3"/>
        <v>47478</v>
      </c>
      <c r="F20" s="77">
        <f t="shared" si="3"/>
        <v>10149</v>
      </c>
    </row>
    <row r="21" spans="1:6" ht="18" customHeight="1" x14ac:dyDescent="0.35">
      <c r="A21" s="76" t="s">
        <v>2</v>
      </c>
      <c r="B21" s="75">
        <f t="shared" si="0"/>
        <v>103538</v>
      </c>
      <c r="C21" s="75">
        <f t="shared" si="3"/>
        <v>51766</v>
      </c>
      <c r="D21" s="75">
        <f t="shared" si="3"/>
        <v>51772</v>
      </c>
      <c r="E21" s="75">
        <f t="shared" si="3"/>
        <v>7129</v>
      </c>
      <c r="F21" s="74">
        <f t="shared" si="3"/>
        <v>1145</v>
      </c>
    </row>
    <row r="22" spans="1:6" ht="18" customHeight="1" x14ac:dyDescent="0.35">
      <c r="A22" s="69" t="s">
        <v>27</v>
      </c>
      <c r="B22" s="68">
        <f t="shared" si="0"/>
        <v>11060</v>
      </c>
      <c r="C22" s="68">
        <f>C23+C24</f>
        <v>5509</v>
      </c>
      <c r="D22" s="68">
        <f>D23+D24</f>
        <v>5551</v>
      </c>
      <c r="E22" s="68">
        <f>E23+E24</f>
        <v>676</v>
      </c>
      <c r="F22" s="67">
        <f>F23+F24</f>
        <v>269</v>
      </c>
    </row>
    <row r="23" spans="1:6" ht="18" customHeight="1" x14ac:dyDescent="0.35">
      <c r="A23" s="72" t="s">
        <v>23</v>
      </c>
      <c r="B23" s="49">
        <f t="shared" si="0"/>
        <v>5189</v>
      </c>
      <c r="C23" s="49">
        <v>2516</v>
      </c>
      <c r="D23" s="49">
        <v>2673</v>
      </c>
      <c r="E23" s="49">
        <v>309</v>
      </c>
      <c r="F23" s="9">
        <v>86</v>
      </c>
    </row>
    <row r="24" spans="1:6" ht="18" customHeight="1" x14ac:dyDescent="0.35">
      <c r="A24" s="73" t="s">
        <v>22</v>
      </c>
      <c r="B24" s="50">
        <f t="shared" si="0"/>
        <v>5871</v>
      </c>
      <c r="C24" s="50">
        <v>2993</v>
      </c>
      <c r="D24" s="50">
        <v>2878</v>
      </c>
      <c r="E24" s="50">
        <v>367</v>
      </c>
      <c r="F24" s="46">
        <v>183</v>
      </c>
    </row>
    <row r="25" spans="1:6" ht="18" customHeight="1" x14ac:dyDescent="0.35">
      <c r="A25" s="36" t="s">
        <v>3</v>
      </c>
      <c r="B25" s="11">
        <f t="shared" si="0"/>
        <v>6652</v>
      </c>
      <c r="C25" s="11">
        <v>3380</v>
      </c>
      <c r="D25" s="11">
        <v>3272</v>
      </c>
      <c r="E25" s="11">
        <v>478</v>
      </c>
      <c r="F25" s="9">
        <v>217</v>
      </c>
    </row>
    <row r="26" spans="1:6" ht="18" customHeight="1" x14ac:dyDescent="0.35">
      <c r="A26" s="58" t="s">
        <v>2</v>
      </c>
      <c r="B26" s="57">
        <f t="shared" si="0"/>
        <v>4408</v>
      </c>
      <c r="C26" s="57">
        <v>2129</v>
      </c>
      <c r="D26" s="57">
        <v>2279</v>
      </c>
      <c r="E26" s="57">
        <v>198</v>
      </c>
      <c r="F26" s="56">
        <v>52</v>
      </c>
    </row>
    <row r="27" spans="1:6" ht="18" customHeight="1" x14ac:dyDescent="0.35">
      <c r="A27" s="69" t="s">
        <v>26</v>
      </c>
      <c r="B27" s="68">
        <f t="shared" si="0"/>
        <v>181922</v>
      </c>
      <c r="C27" s="68">
        <f>C28+C29+C30</f>
        <v>90400</v>
      </c>
      <c r="D27" s="68">
        <f>D28+D29+D30</f>
        <v>91522</v>
      </c>
      <c r="E27" s="68">
        <f>E28+E29+E30</f>
        <v>11258</v>
      </c>
      <c r="F27" s="67">
        <f>F28+F29+F30</f>
        <v>4198</v>
      </c>
    </row>
    <row r="28" spans="1:6" ht="18" customHeight="1" x14ac:dyDescent="0.35">
      <c r="A28" s="72" t="s">
        <v>25</v>
      </c>
      <c r="B28" s="49">
        <f t="shared" si="0"/>
        <v>156664</v>
      </c>
      <c r="C28" s="49">
        <v>77951</v>
      </c>
      <c r="D28" s="49">
        <v>78713</v>
      </c>
      <c r="E28" s="49">
        <v>9422</v>
      </c>
      <c r="F28" s="9">
        <v>3026</v>
      </c>
    </row>
    <row r="29" spans="1:6" ht="18" customHeight="1" x14ac:dyDescent="0.35">
      <c r="A29" s="73" t="s">
        <v>22</v>
      </c>
      <c r="B29" s="50">
        <f t="shared" si="0"/>
        <v>17560</v>
      </c>
      <c r="C29" s="50">
        <v>8617</v>
      </c>
      <c r="D29" s="50">
        <v>8943</v>
      </c>
      <c r="E29" s="50">
        <v>918</v>
      </c>
      <c r="F29" s="46">
        <v>244</v>
      </c>
    </row>
    <row r="30" spans="1:6" ht="18" customHeight="1" x14ac:dyDescent="0.35">
      <c r="A30" s="72" t="s">
        <v>21</v>
      </c>
      <c r="B30" s="49">
        <f t="shared" si="0"/>
        <v>7698</v>
      </c>
      <c r="C30" s="49">
        <v>3832</v>
      </c>
      <c r="D30" s="49">
        <v>3866</v>
      </c>
      <c r="E30" s="49">
        <v>918</v>
      </c>
      <c r="F30" s="9">
        <v>928</v>
      </c>
    </row>
    <row r="31" spans="1:6" ht="18" customHeight="1" x14ac:dyDescent="0.35">
      <c r="A31" s="71" t="s">
        <v>3</v>
      </c>
      <c r="B31" s="66">
        <f t="shared" si="0"/>
        <v>163289</v>
      </c>
      <c r="C31" s="66">
        <v>81113</v>
      </c>
      <c r="D31" s="66">
        <v>82176</v>
      </c>
      <c r="E31" s="66">
        <v>9848</v>
      </c>
      <c r="F31" s="70">
        <v>3732</v>
      </c>
    </row>
    <row r="32" spans="1:6" ht="18" customHeight="1" x14ac:dyDescent="0.35">
      <c r="A32" s="31" t="s">
        <v>2</v>
      </c>
      <c r="B32" s="30">
        <f t="shared" si="0"/>
        <v>18633</v>
      </c>
      <c r="C32" s="30">
        <v>9287</v>
      </c>
      <c r="D32" s="30">
        <v>9346</v>
      </c>
      <c r="E32" s="30">
        <v>1410</v>
      </c>
      <c r="F32" s="27">
        <v>466</v>
      </c>
    </row>
    <row r="33" spans="1:6" ht="18" customHeight="1" x14ac:dyDescent="0.35">
      <c r="A33" s="69" t="s">
        <v>24</v>
      </c>
      <c r="B33" s="68">
        <f t="shared" si="0"/>
        <v>531531</v>
      </c>
      <c r="C33" s="68">
        <f>C34+C35+C36</f>
        <v>262598</v>
      </c>
      <c r="D33" s="68">
        <f>D34+D35+D36</f>
        <v>268933</v>
      </c>
      <c r="E33" s="68">
        <f>E34+E35+E36</f>
        <v>27744</v>
      </c>
      <c r="F33" s="67">
        <f>F34+F35+F36</f>
        <v>4997</v>
      </c>
    </row>
    <row r="34" spans="1:6" ht="18" customHeight="1" x14ac:dyDescent="0.35">
      <c r="A34" s="72" t="s">
        <v>23</v>
      </c>
      <c r="B34" s="49">
        <f t="shared" si="0"/>
        <v>499710</v>
      </c>
      <c r="C34" s="49">
        <v>246848</v>
      </c>
      <c r="D34" s="49">
        <v>252862</v>
      </c>
      <c r="E34" s="49">
        <v>25710</v>
      </c>
      <c r="F34" s="9">
        <v>4366</v>
      </c>
    </row>
    <row r="35" spans="1:6" ht="18" customHeight="1" x14ac:dyDescent="0.35">
      <c r="A35" s="73" t="s">
        <v>22</v>
      </c>
      <c r="B35" s="50">
        <f t="shared" si="0"/>
        <v>28648</v>
      </c>
      <c r="C35" s="50">
        <v>14230</v>
      </c>
      <c r="D35" s="50">
        <v>14418</v>
      </c>
      <c r="E35" s="50">
        <v>1616</v>
      </c>
      <c r="F35" s="46">
        <v>231</v>
      </c>
    </row>
    <row r="36" spans="1:6" ht="18" customHeight="1" x14ac:dyDescent="0.35">
      <c r="A36" s="72" t="s">
        <v>21</v>
      </c>
      <c r="B36" s="49">
        <f t="shared" si="0"/>
        <v>3173</v>
      </c>
      <c r="C36" s="49">
        <v>1520</v>
      </c>
      <c r="D36" s="49">
        <v>1653</v>
      </c>
      <c r="E36" s="49">
        <v>418</v>
      </c>
      <c r="F36" s="9">
        <v>400</v>
      </c>
    </row>
    <row r="37" spans="1:6" ht="18" customHeight="1" x14ac:dyDescent="0.35">
      <c r="A37" s="71" t="s">
        <v>3</v>
      </c>
      <c r="B37" s="66">
        <f t="shared" si="0"/>
        <v>475174</v>
      </c>
      <c r="C37" s="66">
        <v>234645</v>
      </c>
      <c r="D37" s="66">
        <v>240529</v>
      </c>
      <c r="E37" s="66">
        <v>24798</v>
      </c>
      <c r="F37" s="70">
        <v>4590</v>
      </c>
    </row>
    <row r="38" spans="1:6" ht="18" customHeight="1" x14ac:dyDescent="0.35">
      <c r="A38" s="31" t="s">
        <v>2</v>
      </c>
      <c r="B38" s="30">
        <f t="shared" si="0"/>
        <v>56357</v>
      </c>
      <c r="C38" s="30">
        <v>27953</v>
      </c>
      <c r="D38" s="30">
        <v>28404</v>
      </c>
      <c r="E38" s="30">
        <v>2946</v>
      </c>
      <c r="F38" s="27">
        <v>407</v>
      </c>
    </row>
    <row r="39" spans="1:6" ht="18" customHeight="1" x14ac:dyDescent="0.35">
      <c r="A39" s="69" t="s">
        <v>20</v>
      </c>
      <c r="B39" s="68">
        <f t="shared" si="0"/>
        <v>218035</v>
      </c>
      <c r="C39" s="68">
        <f>C40+C41+C42</f>
        <v>110948</v>
      </c>
      <c r="D39" s="68">
        <f>D40+D41+D42</f>
        <v>107087</v>
      </c>
      <c r="E39" s="68">
        <f>E40+E41+E42</f>
        <v>14929</v>
      </c>
      <c r="F39" s="67">
        <f>F40+F41+F42</f>
        <v>1830</v>
      </c>
    </row>
    <row r="40" spans="1:6" ht="18" customHeight="1" x14ac:dyDescent="0.35">
      <c r="A40" s="61" t="s">
        <v>19</v>
      </c>
      <c r="B40" s="11">
        <f t="shared" si="0"/>
        <v>101603</v>
      </c>
      <c r="C40" s="49">
        <v>52115</v>
      </c>
      <c r="D40" s="49">
        <v>49488</v>
      </c>
      <c r="E40" s="11">
        <v>7537</v>
      </c>
      <c r="F40" s="9">
        <v>713</v>
      </c>
    </row>
    <row r="41" spans="1:6" ht="18" customHeight="1" x14ac:dyDescent="0.35">
      <c r="A41" s="62" t="s">
        <v>18</v>
      </c>
      <c r="B41" s="50">
        <f t="shared" si="0"/>
        <v>48868</v>
      </c>
      <c r="C41" s="50">
        <v>24286</v>
      </c>
      <c r="D41" s="50">
        <v>24582</v>
      </c>
      <c r="E41" s="50">
        <v>3511</v>
      </c>
      <c r="F41" s="46">
        <v>896</v>
      </c>
    </row>
    <row r="42" spans="1:6" ht="18" customHeight="1" x14ac:dyDescent="0.35">
      <c r="A42" s="61" t="s">
        <v>17</v>
      </c>
      <c r="B42" s="49">
        <f t="shared" si="0"/>
        <v>67564</v>
      </c>
      <c r="C42" s="49">
        <v>34547</v>
      </c>
      <c r="D42" s="49">
        <v>33017</v>
      </c>
      <c r="E42" s="49">
        <v>3881</v>
      </c>
      <c r="F42" s="9">
        <v>221</v>
      </c>
    </row>
    <row r="43" spans="1:6" ht="18" customHeight="1" x14ac:dyDescent="0.35">
      <c r="A43" s="62" t="s">
        <v>3</v>
      </c>
      <c r="B43" s="66">
        <f t="shared" si="0"/>
        <v>193895</v>
      </c>
      <c r="C43" s="47">
        <v>98551</v>
      </c>
      <c r="D43" s="47">
        <v>95344</v>
      </c>
      <c r="E43" s="47">
        <v>12354</v>
      </c>
      <c r="F43" s="46">
        <v>1610</v>
      </c>
    </row>
    <row r="44" spans="1:6" ht="18" customHeight="1" x14ac:dyDescent="0.35">
      <c r="A44" s="31" t="s">
        <v>2</v>
      </c>
      <c r="B44" s="30">
        <f t="shared" si="0"/>
        <v>24140</v>
      </c>
      <c r="C44" s="30">
        <v>12397</v>
      </c>
      <c r="D44" s="30">
        <v>11743</v>
      </c>
      <c r="E44" s="30">
        <v>2575</v>
      </c>
      <c r="F44" s="27">
        <v>220</v>
      </c>
    </row>
    <row r="45" spans="1:6" ht="18" customHeight="1" x14ac:dyDescent="0.35">
      <c r="A45" s="65" t="s">
        <v>16</v>
      </c>
      <c r="B45" s="64">
        <f t="shared" ref="B45:B72" si="4">C45+D45</f>
        <v>154710</v>
      </c>
      <c r="C45" s="64">
        <f>C46+C47+C48+C49</f>
        <v>84887</v>
      </c>
      <c r="D45" s="64">
        <f>D46+D47+D48+D49</f>
        <v>69823</v>
      </c>
      <c r="E45" s="64">
        <f>E46+E47+E48+E49</f>
        <v>14266</v>
      </c>
      <c r="F45" s="63">
        <f>F46+F47+F48+F49</f>
        <v>776</v>
      </c>
    </row>
    <row r="46" spans="1:6" ht="18" customHeight="1" x14ac:dyDescent="0.35">
      <c r="A46" s="61" t="s">
        <v>9</v>
      </c>
      <c r="B46" s="59">
        <f t="shared" si="4"/>
        <v>99240</v>
      </c>
      <c r="C46" s="49">
        <v>54999</v>
      </c>
      <c r="D46" s="49">
        <v>44241</v>
      </c>
      <c r="E46" s="49">
        <v>8399</v>
      </c>
      <c r="F46" s="9">
        <v>666</v>
      </c>
    </row>
    <row r="47" spans="1:6" ht="18" customHeight="1" x14ac:dyDescent="0.35">
      <c r="A47" s="62" t="s">
        <v>8</v>
      </c>
      <c r="B47" s="47">
        <f t="shared" si="4"/>
        <v>43721</v>
      </c>
      <c r="C47" s="50">
        <v>23449</v>
      </c>
      <c r="D47" s="50">
        <v>20272</v>
      </c>
      <c r="E47" s="50">
        <v>4451</v>
      </c>
      <c r="F47" s="46">
        <v>88</v>
      </c>
    </row>
    <row r="48" spans="1:6" ht="18" customHeight="1" x14ac:dyDescent="0.35">
      <c r="A48" s="61" t="s">
        <v>15</v>
      </c>
      <c r="B48" s="11">
        <f t="shared" si="4"/>
        <v>10545</v>
      </c>
      <c r="C48" s="11">
        <v>5539</v>
      </c>
      <c r="D48" s="11">
        <v>5006</v>
      </c>
      <c r="E48" s="11">
        <v>1348</v>
      </c>
      <c r="F48" s="9">
        <v>17</v>
      </c>
    </row>
    <row r="49" spans="1:6" ht="18" customHeight="1" x14ac:dyDescent="0.35">
      <c r="A49" s="48" t="s">
        <v>7</v>
      </c>
      <c r="B49" s="47">
        <f t="shared" si="4"/>
        <v>1204</v>
      </c>
      <c r="C49" s="50">
        <v>900</v>
      </c>
      <c r="D49" s="60">
        <v>304</v>
      </c>
      <c r="E49" s="47">
        <v>68</v>
      </c>
      <c r="F49" s="46">
        <v>5</v>
      </c>
    </row>
    <row r="50" spans="1:6" ht="18" customHeight="1" x14ac:dyDescent="0.35">
      <c r="A50" s="36" t="s">
        <v>3</v>
      </c>
      <c r="B50" s="59">
        <f t="shared" si="4"/>
        <v>123598</v>
      </c>
      <c r="C50" s="59">
        <v>68106</v>
      </c>
      <c r="D50" s="59">
        <v>55492</v>
      </c>
      <c r="E50" s="59">
        <v>10191</v>
      </c>
      <c r="F50" s="9">
        <v>514</v>
      </c>
    </row>
    <row r="51" spans="1:6" ht="18" customHeight="1" x14ac:dyDescent="0.35">
      <c r="A51" s="58" t="s">
        <v>2</v>
      </c>
      <c r="B51" s="57">
        <f t="shared" si="4"/>
        <v>31112</v>
      </c>
      <c r="C51" s="57">
        <v>16781</v>
      </c>
      <c r="D51" s="57">
        <v>14331</v>
      </c>
      <c r="E51" s="57">
        <v>4075</v>
      </c>
      <c r="F51" s="56">
        <v>262</v>
      </c>
    </row>
    <row r="52" spans="1:6" ht="18" customHeight="1" x14ac:dyDescent="0.35">
      <c r="A52" s="55" t="s">
        <v>14</v>
      </c>
      <c r="B52" s="54">
        <f t="shared" si="4"/>
        <v>112773</v>
      </c>
      <c r="C52" s="54">
        <f>C54+C55+C56</f>
        <v>60841</v>
      </c>
      <c r="D52" s="54">
        <f>D54+D55+D56</f>
        <v>51932</v>
      </c>
      <c r="E52" s="54">
        <f>E54+E55+E56</f>
        <v>11895</v>
      </c>
      <c r="F52" s="53">
        <f>F57+F58</f>
        <v>276</v>
      </c>
    </row>
    <row r="53" spans="1:6" ht="18" customHeight="1" x14ac:dyDescent="0.35">
      <c r="A53" s="48" t="s">
        <v>5</v>
      </c>
      <c r="B53" s="47">
        <f t="shared" si="4"/>
        <v>105694</v>
      </c>
      <c r="C53" s="50">
        <f>C54+C55</f>
        <v>56727</v>
      </c>
      <c r="D53" s="47">
        <f>D54+D55</f>
        <v>48967</v>
      </c>
      <c r="E53" s="47">
        <f>E54+E55</f>
        <v>9984</v>
      </c>
      <c r="F53" s="46">
        <f>F54+F55</f>
        <v>229</v>
      </c>
    </row>
    <row r="54" spans="1:6" ht="18" customHeight="1" x14ac:dyDescent="0.35">
      <c r="A54" s="52" t="s">
        <v>13</v>
      </c>
      <c r="B54" s="11">
        <f t="shared" si="4"/>
        <v>4930</v>
      </c>
      <c r="C54" s="49">
        <v>3079</v>
      </c>
      <c r="D54" s="11">
        <v>1851</v>
      </c>
      <c r="E54" s="11">
        <v>737</v>
      </c>
      <c r="F54" s="9">
        <v>21</v>
      </c>
    </row>
    <row r="55" spans="1:6" ht="18" customHeight="1" x14ac:dyDescent="0.35">
      <c r="A55" s="51" t="s">
        <v>12</v>
      </c>
      <c r="B55" s="47">
        <f t="shared" si="4"/>
        <v>100764</v>
      </c>
      <c r="C55" s="50">
        <v>53648</v>
      </c>
      <c r="D55" s="47">
        <v>47116</v>
      </c>
      <c r="E55" s="47">
        <v>9247</v>
      </c>
      <c r="F55" s="46">
        <v>208</v>
      </c>
    </row>
    <row r="56" spans="1:6" ht="18" customHeight="1" x14ac:dyDescent="0.35">
      <c r="A56" s="36" t="s">
        <v>4</v>
      </c>
      <c r="B56" s="11">
        <f t="shared" si="4"/>
        <v>7079</v>
      </c>
      <c r="C56" s="49">
        <v>4114</v>
      </c>
      <c r="D56" s="11">
        <v>2965</v>
      </c>
      <c r="E56" s="11">
        <v>1911</v>
      </c>
      <c r="F56" s="9">
        <v>117</v>
      </c>
    </row>
    <row r="57" spans="1:6" ht="18" customHeight="1" x14ac:dyDescent="0.35">
      <c r="A57" s="48" t="s">
        <v>3</v>
      </c>
      <c r="B57" s="47">
        <f t="shared" si="4"/>
        <v>88722</v>
      </c>
      <c r="C57" s="47">
        <v>46237</v>
      </c>
      <c r="D57" s="47">
        <v>42485</v>
      </c>
      <c r="E57" s="47">
        <v>7207</v>
      </c>
      <c r="F57" s="46">
        <v>84</v>
      </c>
    </row>
    <row r="58" spans="1:6" ht="18" customHeight="1" x14ac:dyDescent="0.35">
      <c r="A58" s="31" t="s">
        <v>2</v>
      </c>
      <c r="B58" s="29">
        <f t="shared" si="4"/>
        <v>24051</v>
      </c>
      <c r="C58" s="30">
        <v>14604</v>
      </c>
      <c r="D58" s="30">
        <v>9447</v>
      </c>
      <c r="E58" s="30">
        <v>4688</v>
      </c>
      <c r="F58" s="27">
        <v>192</v>
      </c>
    </row>
    <row r="59" spans="1:6" ht="18" customHeight="1" x14ac:dyDescent="0.35">
      <c r="A59" s="45" t="s">
        <v>11</v>
      </c>
      <c r="B59" s="44">
        <f t="shared" si="4"/>
        <v>21787</v>
      </c>
      <c r="C59" s="44">
        <f>C60+C61</f>
        <v>12760</v>
      </c>
      <c r="D59" s="44">
        <f>D60+D61</f>
        <v>9027</v>
      </c>
      <c r="E59" s="44">
        <f>E60+E61</f>
        <v>2784</v>
      </c>
      <c r="F59" s="43">
        <f>F60+F61</f>
        <v>123</v>
      </c>
    </row>
    <row r="60" spans="1:6" ht="18" customHeight="1" x14ac:dyDescent="0.35">
      <c r="A60" s="42" t="s">
        <v>3</v>
      </c>
      <c r="B60" s="41">
        <f t="shared" si="4"/>
        <v>7313</v>
      </c>
      <c r="C60" s="41">
        <f t="shared" ref="C60:F61" si="5">C66+C71</f>
        <v>4394</v>
      </c>
      <c r="D60" s="41">
        <f t="shared" si="5"/>
        <v>2919</v>
      </c>
      <c r="E60" s="41">
        <f t="shared" si="5"/>
        <v>855</v>
      </c>
      <c r="F60" s="41">
        <f t="shared" si="5"/>
        <v>18</v>
      </c>
    </row>
    <row r="61" spans="1:6" ht="18" customHeight="1" x14ac:dyDescent="0.35">
      <c r="A61" s="40" t="s">
        <v>2</v>
      </c>
      <c r="B61" s="39">
        <f t="shared" si="4"/>
        <v>14474</v>
      </c>
      <c r="C61" s="39">
        <f t="shared" si="5"/>
        <v>8366</v>
      </c>
      <c r="D61" s="39">
        <f t="shared" si="5"/>
        <v>6108</v>
      </c>
      <c r="E61" s="39">
        <f t="shared" si="5"/>
        <v>1929</v>
      </c>
      <c r="F61" s="39">
        <f t="shared" si="5"/>
        <v>105</v>
      </c>
    </row>
    <row r="62" spans="1:6" x14ac:dyDescent="0.35">
      <c r="A62" s="26" t="s">
        <v>10</v>
      </c>
      <c r="B62" s="25">
        <f t="shared" si="4"/>
        <v>2103</v>
      </c>
      <c r="C62" s="25">
        <f>C63+C64+C65</f>
        <v>1208</v>
      </c>
      <c r="D62" s="25">
        <f>D63+D64+D65</f>
        <v>895</v>
      </c>
      <c r="E62" s="25">
        <f>E63+E64+E65</f>
        <v>82</v>
      </c>
      <c r="F62" s="24">
        <f>F66+F67</f>
        <v>12</v>
      </c>
    </row>
    <row r="63" spans="1:6" x14ac:dyDescent="0.35">
      <c r="A63" s="38" t="s">
        <v>9</v>
      </c>
      <c r="B63" s="21">
        <f t="shared" si="4"/>
        <v>2103</v>
      </c>
      <c r="C63" s="22">
        <v>1208</v>
      </c>
      <c r="D63" s="21">
        <v>895</v>
      </c>
      <c r="E63" s="20">
        <v>82</v>
      </c>
      <c r="F63" s="19">
        <v>12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1797</v>
      </c>
      <c r="C66" s="15">
        <v>1041</v>
      </c>
      <c r="D66" s="15">
        <v>756</v>
      </c>
      <c r="E66" s="32">
        <v>26</v>
      </c>
      <c r="F66" s="13">
        <v>5</v>
      </c>
    </row>
    <row r="67" spans="1:15" x14ac:dyDescent="0.35">
      <c r="A67" s="31" t="s">
        <v>2</v>
      </c>
      <c r="B67" s="29">
        <f t="shared" si="4"/>
        <v>306</v>
      </c>
      <c r="C67" s="30">
        <v>167</v>
      </c>
      <c r="D67" s="29">
        <v>139</v>
      </c>
      <c r="E67" s="28">
        <v>56</v>
      </c>
      <c r="F67" s="27">
        <v>7</v>
      </c>
    </row>
    <row r="68" spans="1:15" x14ac:dyDescent="0.35">
      <c r="A68" s="26" t="s">
        <v>6</v>
      </c>
      <c r="B68" s="25">
        <f t="shared" si="4"/>
        <v>19684</v>
      </c>
      <c r="C68" s="25">
        <f>C69+C70</f>
        <v>11552</v>
      </c>
      <c r="D68" s="25">
        <f>D69+D70</f>
        <v>8132</v>
      </c>
      <c r="E68" s="25">
        <f>E71+E72</f>
        <v>2702</v>
      </c>
      <c r="F68" s="24">
        <f>F71+F72</f>
        <v>111</v>
      </c>
    </row>
    <row r="69" spans="1:15" x14ac:dyDescent="0.35">
      <c r="A69" s="23" t="s">
        <v>5</v>
      </c>
      <c r="B69" s="21">
        <f t="shared" si="4"/>
        <v>14475</v>
      </c>
      <c r="C69" s="22">
        <v>8330</v>
      </c>
      <c r="D69" s="21">
        <v>6145</v>
      </c>
      <c r="E69" s="20">
        <v>2138</v>
      </c>
      <c r="F69" s="19">
        <v>88</v>
      </c>
      <c r="G69" s="18"/>
    </row>
    <row r="70" spans="1:15" x14ac:dyDescent="0.35">
      <c r="A70" s="17" t="s">
        <v>4</v>
      </c>
      <c r="B70" s="15">
        <f t="shared" si="4"/>
        <v>5209</v>
      </c>
      <c r="C70" s="16">
        <v>3222</v>
      </c>
      <c r="D70" s="15">
        <v>1987</v>
      </c>
      <c r="E70" s="14">
        <v>564</v>
      </c>
      <c r="F70" s="13">
        <v>50</v>
      </c>
    </row>
    <row r="71" spans="1:15" x14ac:dyDescent="0.35">
      <c r="A71" s="12" t="s">
        <v>3</v>
      </c>
      <c r="B71" s="11">
        <f t="shared" si="4"/>
        <v>5516</v>
      </c>
      <c r="C71" s="11">
        <v>3353</v>
      </c>
      <c r="D71" s="11">
        <v>2163</v>
      </c>
      <c r="E71" s="10">
        <v>829</v>
      </c>
      <c r="F71" s="9">
        <v>13</v>
      </c>
    </row>
    <row r="72" spans="1:15" x14ac:dyDescent="0.35">
      <c r="A72" s="8" t="s">
        <v>2</v>
      </c>
      <c r="B72" s="6">
        <f t="shared" si="4"/>
        <v>14168</v>
      </c>
      <c r="C72" s="7">
        <v>8199</v>
      </c>
      <c r="D72" s="6">
        <v>5969</v>
      </c>
      <c r="E72" s="5">
        <v>1873</v>
      </c>
      <c r="F72" s="4">
        <v>98</v>
      </c>
    </row>
    <row r="73" spans="1:15" x14ac:dyDescent="0.35">
      <c r="F73" s="3" t="s">
        <v>1</v>
      </c>
    </row>
    <row r="74" spans="1:15" ht="41.1" customHeight="1" x14ac:dyDescent="0.35">
      <c r="A74" s="143" t="s">
        <v>0</v>
      </c>
      <c r="B74" s="143"/>
      <c r="C74" s="143"/>
      <c r="D74" s="143"/>
      <c r="E74" s="143"/>
      <c r="F74" s="143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A3F6-CEE4-4B4C-B100-C69369165D9F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7" t="s">
        <v>29</v>
      </c>
      <c r="B7" s="137"/>
      <c r="C7" s="137"/>
      <c r="D7" s="137"/>
      <c r="E7" s="137"/>
      <c r="F7" s="137"/>
      <c r="H7" s="2"/>
      <c r="I7" s="2"/>
    </row>
    <row r="8" spans="1:10" s="1" customFormat="1" ht="15.75" customHeight="1" x14ac:dyDescent="0.35">
      <c r="A8" s="137" t="s">
        <v>76</v>
      </c>
      <c r="B8" s="137"/>
      <c r="C8" s="137"/>
      <c r="D8" s="137"/>
      <c r="E8" s="137"/>
      <c r="F8" s="137"/>
      <c r="H8" s="2"/>
      <c r="I8" s="2"/>
    </row>
    <row r="9" spans="1:10" s="1" customFormat="1" ht="3" customHeight="1" x14ac:dyDescent="0.35">
      <c r="A9" s="142"/>
      <c r="B9" s="141"/>
      <c r="C9" s="140"/>
      <c r="D9" s="139"/>
      <c r="E9" s="140"/>
      <c r="F9" s="139"/>
      <c r="H9" s="136"/>
      <c r="I9" s="2"/>
    </row>
    <row r="10" spans="1:10" s="1" customFormat="1" ht="15.75" customHeight="1" x14ac:dyDescent="0.35">
      <c r="A10" s="138" t="s">
        <v>38</v>
      </c>
      <c r="B10" s="138"/>
      <c r="C10" s="137"/>
      <c r="D10" s="137"/>
      <c r="E10" s="137"/>
      <c r="F10" s="137"/>
      <c r="H10" s="136"/>
      <c r="I10" s="2"/>
    </row>
    <row r="11" spans="1:10" ht="18" customHeight="1" x14ac:dyDescent="0.35">
      <c r="A11" s="149" t="s">
        <v>75</v>
      </c>
      <c r="B11" s="135" t="s">
        <v>74</v>
      </c>
      <c r="C11" s="134" t="s">
        <v>73</v>
      </c>
      <c r="D11" s="133"/>
      <c r="E11" s="134" t="s">
        <v>72</v>
      </c>
      <c r="F11" s="133"/>
    </row>
    <row r="12" spans="1:10" ht="21.75" customHeight="1" x14ac:dyDescent="0.35">
      <c r="A12" s="150"/>
      <c r="B12" s="132" t="s">
        <v>71</v>
      </c>
      <c r="C12" s="131" t="s">
        <v>71</v>
      </c>
      <c r="D12" s="129" t="s">
        <v>70</v>
      </c>
      <c r="E12" s="130" t="s">
        <v>71</v>
      </c>
      <c r="F12" s="129" t="s">
        <v>70</v>
      </c>
    </row>
    <row r="13" spans="1:10" x14ac:dyDescent="0.35">
      <c r="A13" s="128" t="s">
        <v>28</v>
      </c>
      <c r="B13" s="127"/>
      <c r="C13" s="126"/>
      <c r="D13" s="126"/>
      <c r="E13" s="125"/>
      <c r="F13" s="124"/>
      <c r="H13" s="87"/>
    </row>
    <row r="14" spans="1:10" x14ac:dyDescent="0.35">
      <c r="A14" s="104" t="s">
        <v>69</v>
      </c>
      <c r="B14" s="103">
        <v>88.168843380662011</v>
      </c>
      <c r="C14" s="103">
        <v>86.001237178125962</v>
      </c>
      <c r="D14" s="102">
        <v>90.548895792070439</v>
      </c>
      <c r="E14" s="101">
        <v>86.838430050565847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87.308564750218963</v>
      </c>
      <c r="C15" s="108">
        <v>85.278134261524684</v>
      </c>
      <c r="D15" s="107">
        <v>89.822984263753895</v>
      </c>
      <c r="E15" s="106">
        <v>86.108281316564486</v>
      </c>
      <c r="F15" s="105">
        <v>91.436409983971117</v>
      </c>
      <c r="H15" s="87"/>
      <c r="I15" s="87"/>
      <c r="J15" s="87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7"/>
      <c r="I16" s="87"/>
      <c r="J16" s="87"/>
    </row>
    <row r="17" spans="1:10" x14ac:dyDescent="0.35">
      <c r="A17" s="104" t="s">
        <v>67</v>
      </c>
      <c r="B17" s="103">
        <v>35.435348888765731</v>
      </c>
      <c r="C17" s="103">
        <v>32.929265869693822</v>
      </c>
      <c r="D17" s="102">
        <v>38.580942141638275</v>
      </c>
      <c r="E17" s="101">
        <v>38.821995120689849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83.890298311608774</v>
      </c>
      <c r="C18" s="108">
        <v>82.439203634420096</v>
      </c>
      <c r="D18" s="107">
        <v>77.998743134706629</v>
      </c>
      <c r="E18" s="106">
        <v>88.115392808691468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86.72925735819635</v>
      </c>
      <c r="C19" s="103">
        <v>85.242336712391946</v>
      </c>
      <c r="D19" s="102">
        <v>73.121669901048492</v>
      </c>
      <c r="E19" s="101">
        <v>89.453496304082847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68.893722468969997</v>
      </c>
      <c r="C20" s="108">
        <v>66.98219251020528</v>
      </c>
      <c r="D20" s="107">
        <v>63.307350306076884</v>
      </c>
      <c r="E20" s="106">
        <v>72.175690777056445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69.173640281888552</v>
      </c>
      <c r="C21" s="103">
        <v>67.266905283085848</v>
      </c>
      <c r="D21" s="102">
        <v>63.672054942229941</v>
      </c>
      <c r="E21" s="101">
        <v>72.482536692567294</v>
      </c>
      <c r="F21" s="100">
        <v>71.858408255034533</v>
      </c>
      <c r="H21" s="87"/>
      <c r="I21" s="87"/>
      <c r="J21" s="87"/>
    </row>
    <row r="22" spans="1:10" x14ac:dyDescent="0.35">
      <c r="A22" s="123" t="s">
        <v>24</v>
      </c>
      <c r="B22" s="122"/>
      <c r="C22" s="122"/>
      <c r="D22" s="122"/>
      <c r="E22" s="122"/>
      <c r="F22" s="121"/>
      <c r="H22" s="87"/>
      <c r="I22" s="87"/>
      <c r="J22" s="87"/>
    </row>
    <row r="23" spans="1:10" x14ac:dyDescent="0.35">
      <c r="A23" s="104" t="s">
        <v>50</v>
      </c>
      <c r="B23" s="103">
        <v>2.0207182193031858</v>
      </c>
      <c r="C23" s="103">
        <v>1.8187085983696116</v>
      </c>
      <c r="D23" s="102">
        <v>0.43876962396363073</v>
      </c>
      <c r="E23" s="103">
        <v>1.6598635328645361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1.7591606662844317</v>
      </c>
      <c r="C24" s="108">
        <v>1.7898168152633676</v>
      </c>
      <c r="D24" s="107">
        <v>0.47104009397397339</v>
      </c>
      <c r="E24" s="108">
        <v>1.8205142933731544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89.231513519766935</v>
      </c>
      <c r="C25" s="103">
        <v>89.237509863366412</v>
      </c>
      <c r="D25" s="102">
        <v>96.9551648474215</v>
      </c>
      <c r="E25" s="103">
        <v>89.218708800681497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95.070761852470227</v>
      </c>
      <c r="C26" s="108">
        <v>96.165680208554775</v>
      </c>
      <c r="D26" s="107">
        <v>101.9341223948949</v>
      </c>
      <c r="E26" s="108">
        <v>98.302679509240846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99.344587994010382</v>
      </c>
      <c r="C27" s="103">
        <v>97.324510247316169</v>
      </c>
      <c r="D27" s="102">
        <v>101.72046958709984</v>
      </c>
      <c r="E27" s="103">
        <v>96.727477452695581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92.749779604883329</v>
      </c>
      <c r="C28" s="108">
        <v>91.163486486140073</v>
      </c>
      <c r="D28" s="107">
        <v>96.314695429046509</v>
      </c>
      <c r="E28" s="108">
        <v>90.604220077828998</v>
      </c>
      <c r="F28" s="105">
        <v>95.816612827648669</v>
      </c>
      <c r="H28" s="87"/>
      <c r="I28" s="87"/>
      <c r="J28" s="87"/>
    </row>
    <row r="29" spans="1:10" x14ac:dyDescent="0.35">
      <c r="A29" s="123" t="s">
        <v>20</v>
      </c>
      <c r="B29" s="122"/>
      <c r="C29" s="122"/>
      <c r="D29" s="122"/>
      <c r="E29" s="122"/>
      <c r="F29" s="121"/>
      <c r="H29" s="87"/>
      <c r="I29" s="87"/>
      <c r="J29" s="87"/>
    </row>
    <row r="30" spans="1:10" x14ac:dyDescent="0.35">
      <c r="A30" s="104" t="s">
        <v>51</v>
      </c>
      <c r="B30" s="103">
        <v>92.604318594144644</v>
      </c>
      <c r="C30" s="103">
        <v>89.727028428645511</v>
      </c>
      <c r="D30" s="102">
        <v>93.105822485612947</v>
      </c>
      <c r="E30" s="101">
        <v>93.599767306573582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8.0586437524914789</v>
      </c>
      <c r="C31" s="108">
        <v>7.3928497718256274</v>
      </c>
      <c r="D31" s="107">
        <v>2.54778221710249</v>
      </c>
      <c r="E31" s="106">
        <v>7.002626273835288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6.3097663850162578</v>
      </c>
      <c r="C32" s="103">
        <v>6.2465579125282495</v>
      </c>
      <c r="D32" s="102">
        <v>2.2384648038226818</v>
      </c>
      <c r="E32" s="101">
        <v>6.182996044258438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78.530769414747311</v>
      </c>
      <c r="C33" s="108">
        <v>81.926142632237912</v>
      </c>
      <c r="D33" s="107">
        <v>92.865387576774694</v>
      </c>
      <c r="E33" s="106">
        <v>80.141108379430449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74.944934549148059</v>
      </c>
      <c r="C34" s="103">
        <v>75.401026811180841</v>
      </c>
      <c r="D34" s="102">
        <v>91.876923795994145</v>
      </c>
      <c r="E34" s="101">
        <v>71.351862830042407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84.815038825504999</v>
      </c>
      <c r="C35" s="108">
        <v>81.808426416127929</v>
      </c>
      <c r="D35" s="107">
        <v>94.670888333927934</v>
      </c>
      <c r="E35" s="106">
        <v>81.02622124149093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73.759067737076009</v>
      </c>
      <c r="C36" s="103">
        <v>71.435807578446571</v>
      </c>
      <c r="D36" s="102">
        <v>83.855666307503625</v>
      </c>
      <c r="E36" s="101">
        <v>70.752769546045457</v>
      </c>
      <c r="F36" s="120">
        <v>83.305904438452842</v>
      </c>
      <c r="H36" s="87"/>
      <c r="I36" s="87"/>
      <c r="J36" s="87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87"/>
      <c r="I37" s="87"/>
      <c r="J37" s="87"/>
    </row>
    <row r="38" spans="1:10" x14ac:dyDescent="0.35">
      <c r="A38" s="104" t="s">
        <v>51</v>
      </c>
      <c r="B38" s="103">
        <v>93.823441247002393</v>
      </c>
      <c r="C38" s="103">
        <v>93.509875283619365</v>
      </c>
      <c r="D38" s="102">
        <v>90.303209142071765</v>
      </c>
      <c r="E38" s="101">
        <v>94.599706456445105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15.976570142829194</v>
      </c>
      <c r="C39" s="108">
        <v>14.424406954947965</v>
      </c>
      <c r="D39" s="107">
        <v>9.2482325469735116</v>
      </c>
      <c r="E39" s="106">
        <v>14.591300583153489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11.847491620418705</v>
      </c>
      <c r="C40" s="103">
        <v>11.738032372861895</v>
      </c>
      <c r="D40" s="102">
        <v>12.053771184956375</v>
      </c>
      <c r="E40" s="101">
        <v>11.628534348250874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61.726477789436863</v>
      </c>
      <c r="C41" s="108">
        <v>62.383582571907034</v>
      </c>
      <c r="D41" s="107">
        <v>70.240267556253883</v>
      </c>
      <c r="E41" s="106">
        <v>62.085656320388502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52.28794576721144</v>
      </c>
      <c r="C42" s="103">
        <v>50.183163168840991</v>
      </c>
      <c r="D42" s="102">
        <v>63.600436314437992</v>
      </c>
      <c r="E42" s="101">
        <v>45.741287794084762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62.945045471514391</v>
      </c>
      <c r="C43" s="108">
        <v>59.414952244526454</v>
      </c>
      <c r="D43" s="107">
        <v>72.862042704061992</v>
      </c>
      <c r="E43" s="106">
        <v>58.47468029120926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63.643186200367161</v>
      </c>
      <c r="C44" s="103">
        <v>60.222590047966698</v>
      </c>
      <c r="D44" s="102">
        <v>78.400458538136903</v>
      </c>
      <c r="E44" s="101">
        <v>59.269445275521079</v>
      </c>
      <c r="F44" s="100">
        <v>78.773452915283144</v>
      </c>
      <c r="H44" s="87"/>
      <c r="I44" s="116"/>
      <c r="J44" s="116"/>
    </row>
    <row r="45" spans="1:10" x14ac:dyDescent="0.35">
      <c r="A45" s="109" t="s">
        <v>53</v>
      </c>
      <c r="B45" s="108">
        <v>50.201090700565366</v>
      </c>
      <c r="C45" s="108">
        <v>47.788885091152082</v>
      </c>
      <c r="D45" s="107">
        <v>60.675903080458362</v>
      </c>
      <c r="E45" s="106">
        <v>45.722768175646131</v>
      </c>
      <c r="F45" s="105">
        <v>59.146954254527095</v>
      </c>
      <c r="H45" s="87"/>
      <c r="I45" s="87"/>
      <c r="J45" s="87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64.056090601034427</v>
      </c>
      <c r="C47" s="103">
        <v>67.784927522956778</v>
      </c>
      <c r="D47" s="102">
        <v>68.075095204300098</v>
      </c>
      <c r="E47" s="101">
        <v>67.928831033090248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12.789601168574228</v>
      </c>
      <c r="C48" s="108">
        <v>12.610967045863219</v>
      </c>
      <c r="D48" s="107">
        <v>8.5439504278360232</v>
      </c>
      <c r="E48" s="106">
        <v>12.409148690479654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23.508976158220506</v>
      </c>
      <c r="C49" s="103">
        <v>22.919058874217811</v>
      </c>
      <c r="D49" s="102">
        <v>30.621789759912865</v>
      </c>
      <c r="E49" s="101">
        <v>22.305442468612867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26.224533816764662</v>
      </c>
      <c r="C50" s="108">
        <v>25.643551384636286</v>
      </c>
      <c r="D50" s="107">
        <v>34.484611655840489</v>
      </c>
      <c r="E50" s="106">
        <v>24.982850438859089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29.659772276699805</v>
      </c>
      <c r="C51" s="103">
        <v>29.155485896459194</v>
      </c>
      <c r="D51" s="102">
        <v>42.545891307303194</v>
      </c>
      <c r="E51" s="101">
        <v>28.392886143881789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12.580257877131057</v>
      </c>
      <c r="C53" s="108">
        <v>12.220050991405397</v>
      </c>
      <c r="D53" s="107">
        <v>13.596245811879109</v>
      </c>
      <c r="E53" s="106">
        <v>12.027893223301399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8.6</v>
      </c>
      <c r="C54" s="103">
        <v>8.7347666087906131</v>
      </c>
      <c r="D54" s="102">
        <v>9.8556313156987496</v>
      </c>
      <c r="E54" s="101">
        <v>8.8695332175812265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6.8756282271053388</v>
      </c>
      <c r="C55" s="98">
        <v>6.6407900686714152</v>
      </c>
      <c r="D55" s="97">
        <v>4.4889089590471833</v>
      </c>
      <c r="E55" s="96">
        <v>6.3953906200899997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1" t="s">
        <v>42</v>
      </c>
      <c r="B57" s="151"/>
      <c r="C57" s="151"/>
      <c r="D57" s="151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Mich</vt:lpstr>
      <vt:lpstr>MICH</vt:lpstr>
      <vt:lpstr>'Est Mich'!Área_de_impresión</vt:lpstr>
      <vt:lpstr>MICH!Área_de_impresión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2022-09-07T17:30:45Z</cp:lastPrinted>
  <dcterms:created xsi:type="dcterms:W3CDTF">2022-09-06T18:55:55Z</dcterms:created>
  <dcterms:modified xsi:type="dcterms:W3CDTF">2022-09-07T19:12:15Z</dcterms:modified>
</cp:coreProperties>
</file>