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907CF2DD-C8C4-4431-BF27-DE9AD5C72834}" xr6:coauthVersionLast="47" xr6:coauthVersionMax="47" xr10:uidLastSave="{00000000-0000-0000-0000-000000000000}"/>
  <bookViews>
    <workbookView xWindow="-120" yWindow="-120" windowWidth="29040" windowHeight="15840" xr2:uid="{BEEA7D12-24FA-46F2-A08A-E0E990BF1EC8}"/>
  </bookViews>
  <sheets>
    <sheet name="Est Qroo" sheetId="1" r:id="rId1"/>
    <sheet name="Q. RO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Qroo'!$A$1:$F$74</definedName>
    <definedName name="_xlnm.Print_Area" localSheetId="1">'Q. ROO'!$A$1:$F$57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17" i="1"/>
  <c r="D17" i="1"/>
  <c r="F17" i="1"/>
  <c r="E18" i="1"/>
  <c r="E15" i="1" s="1"/>
  <c r="E19" i="1"/>
  <c r="F19" i="1"/>
  <c r="C20" i="1"/>
  <c r="B20" i="1" s="1"/>
  <c r="D20" i="1"/>
  <c r="E20" i="1"/>
  <c r="E17" i="1" s="1"/>
  <c r="F20" i="1"/>
  <c r="B21" i="1"/>
  <c r="C21" i="1"/>
  <c r="C18" i="1" s="1"/>
  <c r="D21" i="1"/>
  <c r="D18" i="1" s="1"/>
  <c r="D15" i="1" s="1"/>
  <c r="E21" i="1"/>
  <c r="F21" i="1"/>
  <c r="F18" i="1" s="1"/>
  <c r="F15" i="1" s="1"/>
  <c r="B22" i="1"/>
  <c r="C22" i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B33" i="1"/>
  <c r="C33" i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B45" i="1"/>
  <c r="C45" i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59" i="1"/>
  <c r="C60" i="1"/>
  <c r="B60" i="1" s="1"/>
  <c r="D60" i="1"/>
  <c r="D59" i="1" s="1"/>
  <c r="E60" i="1"/>
  <c r="E59" i="1" s="1"/>
  <c r="F60" i="1"/>
  <c r="B61" i="1"/>
  <c r="C61" i="1"/>
  <c r="D61" i="1"/>
  <c r="E61" i="1"/>
  <c r="F61" i="1"/>
  <c r="F59" i="1" s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E16" i="1" l="1"/>
  <c r="E13" i="1" s="1"/>
  <c r="E14" i="1"/>
  <c r="B59" i="1"/>
  <c r="F16" i="1"/>
  <c r="F13" i="1" s="1"/>
  <c r="D16" i="1"/>
  <c r="D13" i="1" s="1"/>
  <c r="C16" i="1"/>
  <c r="C15" i="1"/>
  <c r="B15" i="1" s="1"/>
  <c r="B18" i="1"/>
  <c r="D19" i="1"/>
  <c r="B17" i="1"/>
  <c r="C19" i="1"/>
  <c r="B19" i="1" s="1"/>
  <c r="D14" i="1"/>
  <c r="C14" i="1"/>
  <c r="C13" i="1" l="1"/>
  <c r="B13" i="1" s="1"/>
  <c r="B16" i="1"/>
  <c r="B14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<sst xmlns="http://schemas.openxmlformats.org/spreadsheetml/2006/main" count="133" uniqueCount="78">
  <si>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</si>
  <si>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</si>
  <si>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</si>
  <si>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</si>
  <si>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</si>
  <si>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</si>
  <si>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</si>
  <si>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</si>
  <si>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</si>
  <si>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</si>
  <si>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</si>
  <si>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</si>
  <si>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</si>
  <si>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</si>
  <si>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</si>
  <si>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</si>
  <si>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</si>
  <si>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</si>
  <si>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</si>
  <si>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</si>
  <si>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</si>
  <si>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</si>
  <si>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</si>
  <si>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</si>
  <si>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</si>
  <si>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</si>
  <si>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</si>
  <si>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</si>
  <si>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</si>
  <si>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</si>
  <si>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</si>
  <si>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</si>
  <si>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</si>
  <si>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</si>
  <si>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</si>
  <si>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</si>
  <si>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</si>
  <si>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</si>
  <si>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Quintana Roo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</si>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</sst>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1" fillId="0" borderId="0" xfId="0" applyFont="1" applyAlignment="1">
      <alignment horizontal="left"/>
    </xf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2BA16724-CF63-4F32-9C26-CF6146BAE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6D00795-2692-4361-AB1C-F40EB9C7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6FBD98A4-5B32-4583-BCE2-CBB5E3C11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7634-137D-48B8-85B6-158F9F8649D9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7" t="s">
        <v>39</v>
      </c>
      <c r="B7" s="147"/>
      <c r="C7" s="147"/>
      <c r="D7" s="147"/>
      <c r="E7" s="147"/>
      <c r="F7" s="147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7" t="s">
        <v>38</v>
      </c>
      <c r="B8" s="147"/>
      <c r="C8" s="147"/>
      <c r="D8" s="147"/>
      <c r="E8" s="147"/>
      <c r="F8" s="147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8" t="s">
        <v>37</v>
      </c>
      <c r="B11" s="150" t="s">
        <v>36</v>
      </c>
      <c r="C11" s="150"/>
      <c r="D11" s="150"/>
      <c r="E11" s="151" t="s">
        <v>35</v>
      </c>
      <c r="F11" s="151" t="s">
        <v>34</v>
      </c>
    </row>
    <row r="12" spans="1:16" ht="15" customHeight="1" x14ac:dyDescent="0.35">
      <c r="A12" s="149"/>
      <c r="B12" s="83" t="s">
        <v>33</v>
      </c>
      <c r="C12" s="83" t="s">
        <v>32</v>
      </c>
      <c r="D12" s="83" t="s">
        <v>31</v>
      </c>
      <c r="E12" s="149"/>
      <c r="F12" s="149"/>
    </row>
    <row r="13" spans="1:16" ht="18" customHeight="1" x14ac:dyDescent="0.35">
      <c r="A13" s="82" t="s">
        <v>30</v>
      </c>
      <c r="B13" s="81">
        <f t="shared" ref="B13:B44" si="0">C13+D13</f>
        <v>460498</v>
      </c>
      <c r="C13" s="81">
        <f>C16+C62+C68</f>
        <v>230464</v>
      </c>
      <c r="D13" s="81">
        <f>D16+D62+D68</f>
        <v>230034</v>
      </c>
      <c r="E13" s="81">
        <f>E16+E62+E68</f>
        <v>28795</v>
      </c>
      <c r="F13" s="81">
        <f>F16+F62+F68</f>
        <v>2693</v>
      </c>
    </row>
    <row r="14" spans="1:16" ht="18" customHeight="1" x14ac:dyDescent="0.35">
      <c r="A14" s="42" t="s">
        <v>3</v>
      </c>
      <c r="B14" s="41">
        <f t="shared" si="0"/>
        <v>387912</v>
      </c>
      <c r="C14" s="41">
        <f t="shared" ref="C14:F15" si="1">C17+C66+C71</f>
        <v>192027</v>
      </c>
      <c r="D14" s="41">
        <f t="shared" si="1"/>
        <v>195885</v>
      </c>
      <c r="E14" s="41">
        <f t="shared" si="1"/>
        <v>20738</v>
      </c>
      <c r="F14" s="41">
        <f t="shared" si="1"/>
        <v>2061</v>
      </c>
    </row>
    <row r="15" spans="1:16" ht="18" customHeight="1" x14ac:dyDescent="0.35">
      <c r="A15" s="40" t="s">
        <v>2</v>
      </c>
      <c r="B15" s="39">
        <f t="shared" si="0"/>
        <v>72586</v>
      </c>
      <c r="C15" s="39">
        <f t="shared" si="1"/>
        <v>38437</v>
      </c>
      <c r="D15" s="39">
        <f t="shared" si="1"/>
        <v>34149</v>
      </c>
      <c r="E15" s="39">
        <f t="shared" si="1"/>
        <v>8057</v>
      </c>
      <c r="F15" s="39">
        <f t="shared" si="1"/>
        <v>632</v>
      </c>
    </row>
    <row r="16" spans="1:16" ht="18" customHeight="1" x14ac:dyDescent="0.35">
      <c r="A16" s="45" t="s">
        <v>29</v>
      </c>
      <c r="B16" s="44">
        <f t="shared" si="0"/>
        <v>441568</v>
      </c>
      <c r="C16" s="44">
        <f>C17+C18</f>
        <v>219690</v>
      </c>
      <c r="D16" s="44">
        <f>D17+D18</f>
        <v>221878</v>
      </c>
      <c r="E16" s="44">
        <f>E17+E18</f>
        <v>26333</v>
      </c>
      <c r="F16" s="43">
        <f>F17+F18</f>
        <v>2622</v>
      </c>
    </row>
    <row r="17" spans="1:6" ht="18" customHeight="1" x14ac:dyDescent="0.35">
      <c r="A17" s="42" t="s">
        <v>3</v>
      </c>
      <c r="B17" s="41">
        <f t="shared" si="0"/>
        <v>386675</v>
      </c>
      <c r="C17" s="41">
        <f t="shared" ref="C17:F18" si="2">C20+C50+C57</f>
        <v>191399</v>
      </c>
      <c r="D17" s="41">
        <f t="shared" si="2"/>
        <v>195276</v>
      </c>
      <c r="E17" s="41">
        <f t="shared" si="2"/>
        <v>20650</v>
      </c>
      <c r="F17" s="41">
        <f t="shared" si="2"/>
        <v>2050</v>
      </c>
    </row>
    <row r="18" spans="1:6" ht="18" customHeight="1" x14ac:dyDescent="0.35">
      <c r="A18" s="40" t="s">
        <v>2</v>
      </c>
      <c r="B18" s="39">
        <f t="shared" si="0"/>
        <v>54893</v>
      </c>
      <c r="C18" s="39">
        <f t="shared" si="2"/>
        <v>28291</v>
      </c>
      <c r="D18" s="39">
        <f t="shared" si="2"/>
        <v>26602</v>
      </c>
      <c r="E18" s="39">
        <f t="shared" si="2"/>
        <v>5683</v>
      </c>
      <c r="F18" s="39">
        <f t="shared" si="2"/>
        <v>572</v>
      </c>
    </row>
    <row r="19" spans="1:6" ht="18" customHeight="1" x14ac:dyDescent="0.35">
      <c r="A19" s="80" t="s">
        <v>28</v>
      </c>
      <c r="B19" s="79">
        <f t="shared" si="0"/>
        <v>337641</v>
      </c>
      <c r="C19" s="79">
        <f>C20+C21</f>
        <v>166307</v>
      </c>
      <c r="D19" s="79">
        <f>D20+D21</f>
        <v>171334</v>
      </c>
      <c r="E19" s="79">
        <f>E20+E21</f>
        <v>15804</v>
      </c>
      <c r="F19" s="78">
        <f>F20+F21</f>
        <v>2269</v>
      </c>
    </row>
    <row r="20" spans="1:6" ht="18" customHeight="1" x14ac:dyDescent="0.35">
      <c r="A20" s="42" t="s">
        <v>3</v>
      </c>
      <c r="B20" s="41">
        <f t="shared" si="0"/>
        <v>300693</v>
      </c>
      <c r="C20" s="41">
        <f t="shared" ref="C20:F21" si="3">C25+C31+C37+C43</f>
        <v>147894</v>
      </c>
      <c r="D20" s="41">
        <f t="shared" si="3"/>
        <v>152799</v>
      </c>
      <c r="E20" s="41">
        <f t="shared" si="3"/>
        <v>13039</v>
      </c>
      <c r="F20" s="77">
        <f t="shared" si="3"/>
        <v>1812</v>
      </c>
    </row>
    <row r="21" spans="1:6" ht="18" customHeight="1" x14ac:dyDescent="0.35">
      <c r="A21" s="76" t="s">
        <v>2</v>
      </c>
      <c r="B21" s="75">
        <f t="shared" si="0"/>
        <v>36948</v>
      </c>
      <c r="C21" s="75">
        <f t="shared" si="3"/>
        <v>18413</v>
      </c>
      <c r="D21" s="75">
        <f t="shared" si="3"/>
        <v>18535</v>
      </c>
      <c r="E21" s="75">
        <f t="shared" si="3"/>
        <v>2765</v>
      </c>
      <c r="F21" s="74">
        <f t="shared" si="3"/>
        <v>457</v>
      </c>
    </row>
    <row r="22" spans="1:6" ht="18" customHeight="1" x14ac:dyDescent="0.35">
      <c r="A22" s="69" t="s">
        <v>27</v>
      </c>
      <c r="B22" s="68">
        <f t="shared" si="0"/>
        <v>2778</v>
      </c>
      <c r="C22" s="68">
        <f>C23+C24</f>
        <v>1312</v>
      </c>
      <c r="D22" s="68">
        <f>D23+D24</f>
        <v>1466</v>
      </c>
      <c r="E22" s="68">
        <f>E23+E24</f>
        <v>107</v>
      </c>
      <c r="F22" s="67">
        <f>F23+F24</f>
        <v>71</v>
      </c>
    </row>
    <row r="23" spans="1:6" ht="18" customHeight="1" x14ac:dyDescent="0.35">
      <c r="A23" s="72" t="s">
        <v>23</v>
      </c>
      <c r="B23" s="49">
        <f t="shared" si="0"/>
        <v>1829</v>
      </c>
      <c r="C23" s="49">
        <v>833</v>
      </c>
      <c r="D23" s="49">
        <v>996</v>
      </c>
      <c r="E23" s="49">
        <v>59</v>
      </c>
      <c r="F23" s="9">
        <v>32</v>
      </c>
    </row>
    <row r="24" spans="1:6" ht="18" customHeight="1" x14ac:dyDescent="0.35">
      <c r="A24" s="73" t="s">
        <v>22</v>
      </c>
      <c r="B24" s="50">
        <f t="shared" si="0"/>
        <v>949</v>
      </c>
      <c r="C24" s="50">
        <v>479</v>
      </c>
      <c r="D24" s="50">
        <v>470</v>
      </c>
      <c r="E24" s="50">
        <v>48</v>
      </c>
      <c r="F24" s="46">
        <v>39</v>
      </c>
    </row>
    <row r="25" spans="1:6" ht="18" customHeight="1" x14ac:dyDescent="0.35">
      <c r="A25" s="36" t="s">
        <v>3</v>
      </c>
      <c r="B25" s="11">
        <f t="shared" si="0"/>
        <v>1268</v>
      </c>
      <c r="C25" s="11">
        <v>625</v>
      </c>
      <c r="D25" s="11">
        <v>643</v>
      </c>
      <c r="E25" s="11">
        <v>79</v>
      </c>
      <c r="F25" s="9">
        <v>49</v>
      </c>
    </row>
    <row r="26" spans="1:6" ht="18" customHeight="1" x14ac:dyDescent="0.35">
      <c r="A26" s="58" t="s">
        <v>2</v>
      </c>
      <c r="B26" s="57">
        <f t="shared" si="0"/>
        <v>1510</v>
      </c>
      <c r="C26" s="57">
        <v>687</v>
      </c>
      <c r="D26" s="57">
        <v>823</v>
      </c>
      <c r="E26" s="57">
        <v>28</v>
      </c>
      <c r="F26" s="56">
        <v>22</v>
      </c>
    </row>
    <row r="27" spans="1:6" ht="18" customHeight="1" x14ac:dyDescent="0.35">
      <c r="A27" s="69" t="s">
        <v>26</v>
      </c>
      <c r="B27" s="68">
        <f t="shared" si="0"/>
        <v>48796</v>
      </c>
      <c r="C27" s="68">
        <f>C28+C29+C30</f>
        <v>24193</v>
      </c>
      <c r="D27" s="68">
        <f>D28+D29+D30</f>
        <v>24603</v>
      </c>
      <c r="E27" s="68">
        <f>E28+E29+E30</f>
        <v>2476</v>
      </c>
      <c r="F27" s="67">
        <f>F28+F29+F30</f>
        <v>800</v>
      </c>
    </row>
    <row r="28" spans="1:6" ht="18" customHeight="1" x14ac:dyDescent="0.35">
      <c r="A28" s="72" t="s">
        <v>25</v>
      </c>
      <c r="B28" s="49">
        <f t="shared" si="0"/>
        <v>43139</v>
      </c>
      <c r="C28" s="49">
        <v>21391</v>
      </c>
      <c r="D28" s="49">
        <v>21748</v>
      </c>
      <c r="E28" s="49">
        <v>2138</v>
      </c>
      <c r="F28" s="9">
        <v>573</v>
      </c>
    </row>
    <row r="29" spans="1:6" ht="18" customHeight="1" x14ac:dyDescent="0.35">
      <c r="A29" s="73" t="s">
        <v>22</v>
      </c>
      <c r="B29" s="50">
        <f t="shared" si="0"/>
        <v>4560</v>
      </c>
      <c r="C29" s="50">
        <v>2279</v>
      </c>
      <c r="D29" s="50">
        <v>2281</v>
      </c>
      <c r="E29" s="50">
        <v>215</v>
      </c>
      <c r="F29" s="46">
        <v>103</v>
      </c>
    </row>
    <row r="30" spans="1:6" ht="18" customHeight="1" x14ac:dyDescent="0.35">
      <c r="A30" s="72" t="s">
        <v>21</v>
      </c>
      <c r="B30" s="49">
        <f t="shared" si="0"/>
        <v>1097</v>
      </c>
      <c r="C30" s="49">
        <v>523</v>
      </c>
      <c r="D30" s="49">
        <v>574</v>
      </c>
      <c r="E30" s="49">
        <v>123</v>
      </c>
      <c r="F30" s="9">
        <v>124</v>
      </c>
    </row>
    <row r="31" spans="1:6" ht="18" customHeight="1" x14ac:dyDescent="0.35">
      <c r="A31" s="71" t="s">
        <v>3</v>
      </c>
      <c r="B31" s="66">
        <f t="shared" si="0"/>
        <v>42478</v>
      </c>
      <c r="C31" s="66">
        <v>21017</v>
      </c>
      <c r="D31" s="66">
        <v>21461</v>
      </c>
      <c r="E31" s="66">
        <v>1992</v>
      </c>
      <c r="F31" s="70">
        <v>622</v>
      </c>
    </row>
    <row r="32" spans="1:6" ht="18" customHeight="1" x14ac:dyDescent="0.35">
      <c r="A32" s="31" t="s">
        <v>2</v>
      </c>
      <c r="B32" s="30">
        <f t="shared" si="0"/>
        <v>6318</v>
      </c>
      <c r="C32" s="30">
        <v>3176</v>
      </c>
      <c r="D32" s="30">
        <v>3142</v>
      </c>
      <c r="E32" s="30">
        <v>484</v>
      </c>
      <c r="F32" s="27">
        <v>178</v>
      </c>
    </row>
    <row r="33" spans="1:6" ht="18" customHeight="1" x14ac:dyDescent="0.35">
      <c r="A33" s="69" t="s">
        <v>24</v>
      </c>
      <c r="B33" s="68">
        <f t="shared" si="0"/>
        <v>192805</v>
      </c>
      <c r="C33" s="68">
        <f>C34+C35+C36</f>
        <v>94831</v>
      </c>
      <c r="D33" s="68">
        <f>D34+D35+D36</f>
        <v>97974</v>
      </c>
      <c r="E33" s="68">
        <f>E34+E35+E36</f>
        <v>6777</v>
      </c>
      <c r="F33" s="67">
        <f>F34+F35+F36</f>
        <v>910</v>
      </c>
    </row>
    <row r="34" spans="1:6" ht="18" customHeight="1" x14ac:dyDescent="0.35">
      <c r="A34" s="72" t="s">
        <v>23</v>
      </c>
      <c r="B34" s="49">
        <f t="shared" si="0"/>
        <v>188455</v>
      </c>
      <c r="C34" s="49">
        <v>92687</v>
      </c>
      <c r="D34" s="49">
        <v>95768</v>
      </c>
      <c r="E34" s="49">
        <v>6534</v>
      </c>
      <c r="F34" s="9">
        <v>782</v>
      </c>
    </row>
    <row r="35" spans="1:6" ht="18" customHeight="1" x14ac:dyDescent="0.35">
      <c r="A35" s="73" t="s">
        <v>22</v>
      </c>
      <c r="B35" s="50">
        <f t="shared" si="0"/>
        <v>3746</v>
      </c>
      <c r="C35" s="50">
        <v>1845</v>
      </c>
      <c r="D35" s="50">
        <v>1901</v>
      </c>
      <c r="E35" s="50">
        <v>184</v>
      </c>
      <c r="F35" s="46">
        <v>74</v>
      </c>
    </row>
    <row r="36" spans="1:6" ht="18" customHeight="1" x14ac:dyDescent="0.35">
      <c r="A36" s="72" t="s">
        <v>21</v>
      </c>
      <c r="B36" s="49">
        <f t="shared" si="0"/>
        <v>604</v>
      </c>
      <c r="C36" s="49">
        <v>299</v>
      </c>
      <c r="D36" s="49">
        <v>305</v>
      </c>
      <c r="E36" s="49">
        <v>59</v>
      </c>
      <c r="F36" s="9">
        <v>54</v>
      </c>
    </row>
    <row r="37" spans="1:6" ht="18" customHeight="1" x14ac:dyDescent="0.35">
      <c r="A37" s="71" t="s">
        <v>3</v>
      </c>
      <c r="B37" s="66">
        <f t="shared" si="0"/>
        <v>173127</v>
      </c>
      <c r="C37" s="66">
        <v>84991</v>
      </c>
      <c r="D37" s="66">
        <v>88136</v>
      </c>
      <c r="E37" s="66">
        <v>5717</v>
      </c>
      <c r="F37" s="70">
        <v>762</v>
      </c>
    </row>
    <row r="38" spans="1:6" ht="18" customHeight="1" x14ac:dyDescent="0.35">
      <c r="A38" s="31" t="s">
        <v>2</v>
      </c>
      <c r="B38" s="30">
        <f t="shared" si="0"/>
        <v>19678</v>
      </c>
      <c r="C38" s="30">
        <v>9840</v>
      </c>
      <c r="D38" s="30">
        <v>9838</v>
      </c>
      <c r="E38" s="30">
        <v>1060</v>
      </c>
      <c r="F38" s="27">
        <v>148</v>
      </c>
    </row>
    <row r="39" spans="1:6" ht="18" customHeight="1" x14ac:dyDescent="0.35">
      <c r="A39" s="69" t="s">
        <v>20</v>
      </c>
      <c r="B39" s="68">
        <f t="shared" si="0"/>
        <v>93262</v>
      </c>
      <c r="C39" s="68">
        <f>C40+C41+C42</f>
        <v>45971</v>
      </c>
      <c r="D39" s="68">
        <f>D40+D41+D42</f>
        <v>47291</v>
      </c>
      <c r="E39" s="68">
        <f>E40+E41+E42</f>
        <v>6444</v>
      </c>
      <c r="F39" s="67">
        <f>F40+F41+F42</f>
        <v>488</v>
      </c>
    </row>
    <row r="40" spans="1:6" ht="18" customHeight="1" x14ac:dyDescent="0.35">
      <c r="A40" s="61" t="s">
        <v>19</v>
      </c>
      <c r="B40" s="11">
        <f t="shared" si="0"/>
        <v>46278</v>
      </c>
      <c r="C40" s="49">
        <v>22917</v>
      </c>
      <c r="D40" s="49">
        <v>23361</v>
      </c>
      <c r="E40" s="11">
        <v>3560</v>
      </c>
      <c r="F40" s="9">
        <v>243</v>
      </c>
    </row>
    <row r="41" spans="1:6" ht="18" customHeight="1" x14ac:dyDescent="0.35">
      <c r="A41" s="62" t="s">
        <v>18</v>
      </c>
      <c r="B41" s="50">
        <f t="shared" si="0"/>
        <v>14616</v>
      </c>
      <c r="C41" s="50">
        <v>7037</v>
      </c>
      <c r="D41" s="50">
        <v>7579</v>
      </c>
      <c r="E41" s="50">
        <v>733</v>
      </c>
      <c r="F41" s="46">
        <v>176</v>
      </c>
    </row>
    <row r="42" spans="1:6" ht="18" customHeight="1" x14ac:dyDescent="0.35">
      <c r="A42" s="61" t="s">
        <v>17</v>
      </c>
      <c r="B42" s="49">
        <f t="shared" si="0"/>
        <v>32368</v>
      </c>
      <c r="C42" s="49">
        <v>16017</v>
      </c>
      <c r="D42" s="49">
        <v>16351</v>
      </c>
      <c r="E42" s="49">
        <v>2151</v>
      </c>
      <c r="F42" s="9">
        <v>69</v>
      </c>
    </row>
    <row r="43" spans="1:6" ht="18" customHeight="1" x14ac:dyDescent="0.35">
      <c r="A43" s="62" t="s">
        <v>3</v>
      </c>
      <c r="B43" s="66">
        <f t="shared" si="0"/>
        <v>83820</v>
      </c>
      <c r="C43" s="47">
        <v>41261</v>
      </c>
      <c r="D43" s="47">
        <v>42559</v>
      </c>
      <c r="E43" s="47">
        <v>5251</v>
      </c>
      <c r="F43" s="46">
        <v>379</v>
      </c>
    </row>
    <row r="44" spans="1:6" ht="18" customHeight="1" x14ac:dyDescent="0.35">
      <c r="A44" s="31" t="s">
        <v>2</v>
      </c>
      <c r="B44" s="30">
        <f t="shared" si="0"/>
        <v>9442</v>
      </c>
      <c r="C44" s="30">
        <v>4710</v>
      </c>
      <c r="D44" s="30">
        <v>4732</v>
      </c>
      <c r="E44" s="30">
        <v>1193</v>
      </c>
      <c r="F44" s="27">
        <v>109</v>
      </c>
    </row>
    <row r="45" spans="1:6" ht="18" customHeight="1" x14ac:dyDescent="0.35">
      <c r="A45" s="65" t="s">
        <v>16</v>
      </c>
      <c r="B45" s="64">
        <f t="shared" ref="B45:B72" si="4">C45+D45</f>
        <v>66054</v>
      </c>
      <c r="C45" s="64">
        <f>C46+C47+C48+C49</f>
        <v>33920</v>
      </c>
      <c r="D45" s="64">
        <f>D46+D47+D48+D49</f>
        <v>32134</v>
      </c>
      <c r="E45" s="64">
        <f>E46+E47+E48+E49</f>
        <v>6138</v>
      </c>
      <c r="F45" s="63">
        <f>F46+F47+F48+F49</f>
        <v>287</v>
      </c>
    </row>
    <row r="46" spans="1:6" ht="18" customHeight="1" x14ac:dyDescent="0.35">
      <c r="A46" s="61" t="s">
        <v>9</v>
      </c>
      <c r="B46" s="59">
        <f t="shared" si="4"/>
        <v>32570</v>
      </c>
      <c r="C46" s="49">
        <v>17282</v>
      </c>
      <c r="D46" s="49">
        <v>15288</v>
      </c>
      <c r="E46" s="49">
        <v>2442</v>
      </c>
      <c r="F46" s="9">
        <v>218</v>
      </c>
    </row>
    <row r="47" spans="1:6" ht="18" customHeight="1" x14ac:dyDescent="0.35">
      <c r="A47" s="62" t="s">
        <v>8</v>
      </c>
      <c r="B47" s="47">
        <f t="shared" si="4"/>
        <v>23888</v>
      </c>
      <c r="C47" s="50">
        <v>11581</v>
      </c>
      <c r="D47" s="50">
        <v>12307</v>
      </c>
      <c r="E47" s="50">
        <v>2240</v>
      </c>
      <c r="F47" s="46">
        <v>50</v>
      </c>
    </row>
    <row r="48" spans="1:6" ht="18" customHeight="1" x14ac:dyDescent="0.35">
      <c r="A48" s="61" t="s">
        <v>15</v>
      </c>
      <c r="B48" s="11">
        <f t="shared" si="4"/>
        <v>9384</v>
      </c>
      <c r="C48" s="11">
        <v>4936</v>
      </c>
      <c r="D48" s="11">
        <v>4448</v>
      </c>
      <c r="E48" s="11">
        <v>1405</v>
      </c>
      <c r="F48" s="9">
        <v>16</v>
      </c>
    </row>
    <row r="49" spans="1:6" ht="18" customHeight="1" x14ac:dyDescent="0.35">
      <c r="A49" s="48" t="s">
        <v>7</v>
      </c>
      <c r="B49" s="47">
        <f t="shared" si="4"/>
        <v>212</v>
      </c>
      <c r="C49" s="50">
        <v>121</v>
      </c>
      <c r="D49" s="60">
        <v>91</v>
      </c>
      <c r="E49" s="47">
        <v>51</v>
      </c>
      <c r="F49" s="46">
        <v>3</v>
      </c>
    </row>
    <row r="50" spans="1:6" ht="18" customHeight="1" x14ac:dyDescent="0.35">
      <c r="A50" s="36" t="s">
        <v>3</v>
      </c>
      <c r="B50" s="59">
        <f t="shared" si="4"/>
        <v>57391</v>
      </c>
      <c r="C50" s="59">
        <v>29381</v>
      </c>
      <c r="D50" s="59">
        <v>28010</v>
      </c>
      <c r="E50" s="59">
        <v>4951</v>
      </c>
      <c r="F50" s="9">
        <v>212</v>
      </c>
    </row>
    <row r="51" spans="1:6" ht="18" customHeight="1" x14ac:dyDescent="0.35">
      <c r="A51" s="58" t="s">
        <v>2</v>
      </c>
      <c r="B51" s="57">
        <f t="shared" si="4"/>
        <v>8663</v>
      </c>
      <c r="C51" s="57">
        <v>4539</v>
      </c>
      <c r="D51" s="57">
        <v>4124</v>
      </c>
      <c r="E51" s="57">
        <v>1187</v>
      </c>
      <c r="F51" s="56">
        <v>75</v>
      </c>
    </row>
    <row r="52" spans="1:6" ht="18" customHeight="1" x14ac:dyDescent="0.35">
      <c r="A52" s="55" t="s">
        <v>14</v>
      </c>
      <c r="B52" s="54">
        <f t="shared" si="4"/>
        <v>37873</v>
      </c>
      <c r="C52" s="54">
        <f>C54+C55+C56</f>
        <v>19463</v>
      </c>
      <c r="D52" s="54">
        <f>D54+D55+D56</f>
        <v>18410</v>
      </c>
      <c r="E52" s="54">
        <f>E54+E55+E56</f>
        <v>4391</v>
      </c>
      <c r="F52" s="53">
        <f>F57+F58</f>
        <v>66</v>
      </c>
    </row>
    <row r="53" spans="1:6" ht="18" customHeight="1" x14ac:dyDescent="0.35">
      <c r="A53" s="48" t="s">
        <v>5</v>
      </c>
      <c r="B53" s="47">
        <f t="shared" si="4"/>
        <v>36849</v>
      </c>
      <c r="C53" s="50">
        <f>C54+C55</f>
        <v>18989</v>
      </c>
      <c r="D53" s="47">
        <f>D54+D55</f>
        <v>17860</v>
      </c>
      <c r="E53" s="47">
        <f>E54+E55</f>
        <v>3719</v>
      </c>
      <c r="F53" s="46">
        <f>F54+F55</f>
        <v>61</v>
      </c>
    </row>
    <row r="54" spans="1:6" ht="18" customHeight="1" x14ac:dyDescent="0.35">
      <c r="A54" s="52" t="s">
        <v>13</v>
      </c>
      <c r="B54" s="11">
        <f t="shared" si="4"/>
        <v>1715</v>
      </c>
      <c r="C54" s="49">
        <v>1143</v>
      </c>
      <c r="D54" s="11">
        <v>572</v>
      </c>
      <c r="E54" s="11">
        <v>171</v>
      </c>
      <c r="F54" s="9">
        <v>6</v>
      </c>
    </row>
    <row r="55" spans="1:6" ht="18" customHeight="1" x14ac:dyDescent="0.35">
      <c r="A55" s="51" t="s">
        <v>12</v>
      </c>
      <c r="B55" s="47">
        <f t="shared" si="4"/>
        <v>35134</v>
      </c>
      <c r="C55" s="50">
        <v>17846</v>
      </c>
      <c r="D55" s="47">
        <v>17288</v>
      </c>
      <c r="E55" s="47">
        <v>3548</v>
      </c>
      <c r="F55" s="46">
        <v>55</v>
      </c>
    </row>
    <row r="56" spans="1:6" ht="18" customHeight="1" x14ac:dyDescent="0.35">
      <c r="A56" s="36" t="s">
        <v>4</v>
      </c>
      <c r="B56" s="11">
        <f t="shared" si="4"/>
        <v>1024</v>
      </c>
      <c r="C56" s="49">
        <v>474</v>
      </c>
      <c r="D56" s="11">
        <v>550</v>
      </c>
      <c r="E56" s="11">
        <v>672</v>
      </c>
      <c r="F56" s="9">
        <v>24</v>
      </c>
    </row>
    <row r="57" spans="1:6" ht="18" customHeight="1" x14ac:dyDescent="0.35">
      <c r="A57" s="48" t="s">
        <v>3</v>
      </c>
      <c r="B57" s="47">
        <f t="shared" si="4"/>
        <v>28591</v>
      </c>
      <c r="C57" s="47">
        <v>14124</v>
      </c>
      <c r="D57" s="47">
        <v>14467</v>
      </c>
      <c r="E57" s="47">
        <v>2660</v>
      </c>
      <c r="F57" s="46">
        <v>26</v>
      </c>
    </row>
    <row r="58" spans="1:6" ht="18" customHeight="1" x14ac:dyDescent="0.35">
      <c r="A58" s="31" t="s">
        <v>2</v>
      </c>
      <c r="B58" s="29">
        <f t="shared" si="4"/>
        <v>9282</v>
      </c>
      <c r="C58" s="30">
        <v>5339</v>
      </c>
      <c r="D58" s="30">
        <v>3943</v>
      </c>
      <c r="E58" s="30">
        <v>1731</v>
      </c>
      <c r="F58" s="27">
        <v>40</v>
      </c>
    </row>
    <row r="59" spans="1:6" ht="18" customHeight="1" x14ac:dyDescent="0.35">
      <c r="A59" s="45" t="s">
        <v>11</v>
      </c>
      <c r="B59" s="44">
        <f t="shared" si="4"/>
        <v>18930</v>
      </c>
      <c r="C59" s="44">
        <f>C60+C61</f>
        <v>10774</v>
      </c>
      <c r="D59" s="44">
        <f>D60+D61</f>
        <v>8156</v>
      </c>
      <c r="E59" s="44">
        <f>E60+E61</f>
        <v>2462</v>
      </c>
      <c r="F59" s="43">
        <f>F60+F61</f>
        <v>71</v>
      </c>
    </row>
    <row r="60" spans="1:6" ht="18" customHeight="1" x14ac:dyDescent="0.35">
      <c r="A60" s="42" t="s">
        <v>3</v>
      </c>
      <c r="B60" s="41">
        <f t="shared" si="4"/>
        <v>1237</v>
      </c>
      <c r="C60" s="41">
        <f t="shared" ref="C60:F61" si="5">C66+C71</f>
        <v>628</v>
      </c>
      <c r="D60" s="41">
        <f t="shared" si="5"/>
        <v>609</v>
      </c>
      <c r="E60" s="41">
        <f t="shared" si="5"/>
        <v>88</v>
      </c>
      <c r="F60" s="41">
        <f t="shared" si="5"/>
        <v>11</v>
      </c>
    </row>
    <row r="61" spans="1:6" ht="18" customHeight="1" x14ac:dyDescent="0.35">
      <c r="A61" s="40" t="s">
        <v>2</v>
      </c>
      <c r="B61" s="39">
        <f t="shared" si="4"/>
        <v>17693</v>
      </c>
      <c r="C61" s="39">
        <f t="shared" si="5"/>
        <v>10146</v>
      </c>
      <c r="D61" s="39">
        <f t="shared" si="5"/>
        <v>7547</v>
      </c>
      <c r="E61" s="39">
        <f t="shared" si="5"/>
        <v>2374</v>
      </c>
      <c r="F61" s="39">
        <f t="shared" si="5"/>
        <v>60</v>
      </c>
    </row>
    <row r="62" spans="1:6" x14ac:dyDescent="0.35">
      <c r="A62" s="26" t="s">
        <v>10</v>
      </c>
      <c r="B62" s="25">
        <f t="shared" si="4"/>
        <v>1635</v>
      </c>
      <c r="C62" s="25">
        <f>C63+C64+C65</f>
        <v>816</v>
      </c>
      <c r="D62" s="25">
        <f>D63+D64+D65</f>
        <v>819</v>
      </c>
      <c r="E62" s="25">
        <f>E63+E64+E65</f>
        <v>101</v>
      </c>
      <c r="F62" s="24">
        <f>F66+F67</f>
        <v>13</v>
      </c>
    </row>
    <row r="63" spans="1:6" x14ac:dyDescent="0.35">
      <c r="A63" s="38" t="s">
        <v>9</v>
      </c>
      <c r="B63" s="21">
        <f t="shared" si="4"/>
        <v>1635</v>
      </c>
      <c r="C63" s="22">
        <v>816</v>
      </c>
      <c r="D63" s="21">
        <v>819</v>
      </c>
      <c r="E63" s="20">
        <v>101</v>
      </c>
      <c r="F63" s="19">
        <v>13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1064</v>
      </c>
      <c r="C66" s="15">
        <v>524</v>
      </c>
      <c r="D66" s="15">
        <v>540</v>
      </c>
      <c r="E66" s="32">
        <v>23</v>
      </c>
      <c r="F66" s="13">
        <v>6</v>
      </c>
    </row>
    <row r="67" spans="1:15" x14ac:dyDescent="0.35">
      <c r="A67" s="31" t="s">
        <v>2</v>
      </c>
      <c r="B67" s="29">
        <f t="shared" si="4"/>
        <v>571</v>
      </c>
      <c r="C67" s="30">
        <v>292</v>
      </c>
      <c r="D67" s="29">
        <v>279</v>
      </c>
      <c r="E67" s="28">
        <v>78</v>
      </c>
      <c r="F67" s="27">
        <v>7</v>
      </c>
    </row>
    <row r="68" spans="1:15" x14ac:dyDescent="0.35">
      <c r="A68" s="26" t="s">
        <v>6</v>
      </c>
      <c r="B68" s="25">
        <f t="shared" si="4"/>
        <v>17295</v>
      </c>
      <c r="C68" s="25">
        <f>C69+C70</f>
        <v>9958</v>
      </c>
      <c r="D68" s="25">
        <f>D69+D70</f>
        <v>7337</v>
      </c>
      <c r="E68" s="25">
        <f>E71+E72</f>
        <v>2361</v>
      </c>
      <c r="F68" s="24">
        <f>F71+F72</f>
        <v>58</v>
      </c>
    </row>
    <row r="69" spans="1:15" x14ac:dyDescent="0.35">
      <c r="A69" s="23" t="s">
        <v>5</v>
      </c>
      <c r="B69" s="21">
        <f t="shared" si="4"/>
        <v>12655</v>
      </c>
      <c r="C69" s="22">
        <v>7177</v>
      </c>
      <c r="D69" s="21">
        <v>5478</v>
      </c>
      <c r="E69" s="20">
        <v>1548</v>
      </c>
      <c r="F69" s="19">
        <v>46</v>
      </c>
      <c r="G69" s="18"/>
    </row>
    <row r="70" spans="1:15" x14ac:dyDescent="0.35">
      <c r="A70" s="17" t="s">
        <v>4</v>
      </c>
      <c r="B70" s="15">
        <f t="shared" si="4"/>
        <v>4640</v>
      </c>
      <c r="C70" s="16">
        <v>2781</v>
      </c>
      <c r="D70" s="15">
        <v>1859</v>
      </c>
      <c r="E70" s="14">
        <v>813</v>
      </c>
      <c r="F70" s="13">
        <v>36</v>
      </c>
    </row>
    <row r="71" spans="1:15" x14ac:dyDescent="0.35">
      <c r="A71" s="12" t="s">
        <v>3</v>
      </c>
      <c r="B71" s="11">
        <f t="shared" si="4"/>
        <v>173</v>
      </c>
      <c r="C71" s="11">
        <v>104</v>
      </c>
      <c r="D71" s="11">
        <v>69</v>
      </c>
      <c r="E71" s="10">
        <v>65</v>
      </c>
      <c r="F71" s="9">
        <v>5</v>
      </c>
    </row>
    <row r="72" spans="1:15" x14ac:dyDescent="0.35">
      <c r="A72" s="8" t="s">
        <v>2</v>
      </c>
      <c r="B72" s="6">
        <f t="shared" si="4"/>
        <v>17122</v>
      </c>
      <c r="C72" s="7">
        <v>9854</v>
      </c>
      <c r="D72" s="6">
        <v>7268</v>
      </c>
      <c r="E72" s="5">
        <v>2296</v>
      </c>
      <c r="F72" s="4">
        <v>53</v>
      </c>
    </row>
    <row r="73" spans="1:15" x14ac:dyDescent="0.35">
      <c r="F73" s="3" t="s">
        <v>1</v>
      </c>
    </row>
    <row r="74" spans="1:15" ht="41.1" customHeight="1" x14ac:dyDescent="0.35">
      <c r="A74" s="146" t="s">
        <v>0</v>
      </c>
      <c r="B74" s="146"/>
      <c r="C74" s="146"/>
      <c r="D74" s="146"/>
      <c r="E74" s="146"/>
      <c r="F74" s="146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52B-F7A8-4640-9028-D09BD230483D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87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1">
        <v>27</v>
      </c>
      <c r="C1" s="91">
        <v>28</v>
      </c>
      <c r="D1" s="91" t="e">
        <v>#VALUE!</v>
      </c>
      <c r="E1" s="91">
        <v>29</v>
      </c>
      <c r="F1" s="91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40" t="s">
        <v>29</v>
      </c>
      <c r="B7" s="140"/>
      <c r="C7" s="140"/>
      <c r="D7" s="140"/>
      <c r="E7" s="140"/>
      <c r="F7" s="140"/>
      <c r="G7" s="139"/>
      <c r="H7" s="2"/>
      <c r="I7" s="2"/>
    </row>
    <row r="8" spans="1:10" s="1" customFormat="1" ht="15.75" customHeight="1" x14ac:dyDescent="0.35">
      <c r="A8" s="140" t="s">
        <v>76</v>
      </c>
      <c r="B8" s="140"/>
      <c r="C8" s="140"/>
      <c r="D8" s="140"/>
      <c r="E8" s="140"/>
      <c r="F8" s="140"/>
      <c r="G8" s="139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G9" s="139"/>
      <c r="H9" s="138"/>
      <c r="I9" s="2"/>
    </row>
    <row r="10" spans="1:10" s="1" customFormat="1" ht="15.75" customHeight="1" x14ac:dyDescent="0.35">
      <c r="A10" s="141" t="s">
        <v>38</v>
      </c>
      <c r="B10" s="141"/>
      <c r="C10" s="140"/>
      <c r="D10" s="140"/>
      <c r="E10" s="140"/>
      <c r="F10" s="140"/>
      <c r="G10" s="139"/>
      <c r="H10" s="138"/>
      <c r="I10" s="2"/>
    </row>
    <row r="11" spans="1:10" ht="18" customHeight="1" x14ac:dyDescent="0.35">
      <c r="A11" s="152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3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8"/>
    </row>
    <row r="14" spans="1:10" x14ac:dyDescent="0.35">
      <c r="A14" s="106" t="s">
        <v>69</v>
      </c>
      <c r="B14" s="105">
        <v>93.980427121214248</v>
      </c>
      <c r="C14" s="105">
        <v>93.099738101990098</v>
      </c>
      <c r="D14" s="104">
        <v>90.548895792070439</v>
      </c>
      <c r="E14" s="103">
        <v>96.378957459292536</v>
      </c>
      <c r="F14" s="102">
        <v>92.175076705359459</v>
      </c>
      <c r="H14" s="88"/>
      <c r="I14" s="88"/>
      <c r="J14" s="88"/>
    </row>
    <row r="15" spans="1:10" x14ac:dyDescent="0.35">
      <c r="A15" s="111" t="s">
        <v>68</v>
      </c>
      <c r="B15" s="110">
        <v>93.033234579688568</v>
      </c>
      <c r="C15" s="110">
        <v>92.052424085720162</v>
      </c>
      <c r="D15" s="109">
        <v>89.822984263753895</v>
      </c>
      <c r="E15" s="108">
        <v>95.294710716027069</v>
      </c>
      <c r="F15" s="107">
        <v>91.436409983971117</v>
      </c>
      <c r="H15" s="88"/>
      <c r="I15" s="88"/>
      <c r="J15" s="88"/>
    </row>
    <row r="16" spans="1:10" x14ac:dyDescent="0.35">
      <c r="A16" s="125" t="s">
        <v>26</v>
      </c>
      <c r="B16" s="124"/>
      <c r="C16" s="124"/>
      <c r="D16" s="124"/>
      <c r="E16" s="124"/>
      <c r="F16" s="123"/>
      <c r="H16" s="88"/>
      <c r="I16" s="88"/>
      <c r="J16" s="88"/>
    </row>
    <row r="17" spans="1:10" x14ac:dyDescent="0.35">
      <c r="A17" s="106" t="s">
        <v>67</v>
      </c>
      <c r="B17" s="105">
        <v>33.979256754559941</v>
      </c>
      <c r="C17" s="105">
        <v>34.643263448724198</v>
      </c>
      <c r="D17" s="104">
        <v>38.580942141638275</v>
      </c>
      <c r="E17" s="103">
        <v>45.041617895695147</v>
      </c>
      <c r="F17" s="102">
        <v>48.361513668823143</v>
      </c>
      <c r="H17" s="88"/>
      <c r="I17" s="88"/>
      <c r="J17" s="88"/>
    </row>
    <row r="18" spans="1:10" x14ac:dyDescent="0.35">
      <c r="A18" s="111" t="s">
        <v>66</v>
      </c>
      <c r="B18" s="110">
        <v>74.269498946002926</v>
      </c>
      <c r="C18" s="110">
        <v>67.551888616733265</v>
      </c>
      <c r="D18" s="109">
        <v>77.998743134706629</v>
      </c>
      <c r="E18" s="108">
        <v>87.624879149210443</v>
      </c>
      <c r="F18" s="107">
        <v>88.525570726115859</v>
      </c>
      <c r="H18" s="88"/>
      <c r="I18" s="88"/>
      <c r="J18" s="88"/>
    </row>
    <row r="19" spans="1:10" x14ac:dyDescent="0.35">
      <c r="A19" s="106" t="s">
        <v>65</v>
      </c>
      <c r="B19" s="105">
        <v>61.708726453592767</v>
      </c>
      <c r="C19" s="105">
        <v>55.230570783618184</v>
      </c>
      <c r="D19" s="104">
        <v>73.121669901048492</v>
      </c>
      <c r="E19" s="103">
        <v>64.056289267854851</v>
      </c>
      <c r="F19" s="102">
        <v>77.265666530891224</v>
      </c>
      <c r="H19" s="88"/>
      <c r="I19" s="88"/>
      <c r="J19" s="88"/>
    </row>
    <row r="20" spans="1:10" x14ac:dyDescent="0.35">
      <c r="A20" s="111" t="s">
        <v>64</v>
      </c>
      <c r="B20" s="110">
        <v>56.660485995901247</v>
      </c>
      <c r="C20" s="110">
        <v>52.525241640895224</v>
      </c>
      <c r="D20" s="109">
        <v>63.307350306076884</v>
      </c>
      <c r="E20" s="108">
        <v>65.632057817642121</v>
      </c>
      <c r="F20" s="107">
        <v>71.448553833817613</v>
      </c>
      <c r="H20" s="88"/>
      <c r="I20" s="88"/>
      <c r="J20" s="88"/>
    </row>
    <row r="21" spans="1:10" x14ac:dyDescent="0.35">
      <c r="A21" s="106" t="s">
        <v>63</v>
      </c>
      <c r="B21" s="105">
        <v>56.70711210869306</v>
      </c>
      <c r="C21" s="105">
        <v>52.580196760880568</v>
      </c>
      <c r="D21" s="104">
        <v>63.672054942229941</v>
      </c>
      <c r="E21" s="103">
        <v>65.700888343980552</v>
      </c>
      <c r="F21" s="102">
        <v>71.858408255034533</v>
      </c>
      <c r="H21" s="88"/>
      <c r="I21" s="88"/>
      <c r="J21" s="88"/>
    </row>
    <row r="22" spans="1:10" x14ac:dyDescent="0.35">
      <c r="A22" s="125" t="s">
        <v>24</v>
      </c>
      <c r="B22" s="124"/>
      <c r="C22" s="124"/>
      <c r="D22" s="124"/>
      <c r="E22" s="124"/>
      <c r="F22" s="123"/>
      <c r="H22" s="88"/>
      <c r="I22" s="88"/>
      <c r="J22" s="88"/>
    </row>
    <row r="23" spans="1:10" x14ac:dyDescent="0.35">
      <c r="A23" s="106" t="s">
        <v>50</v>
      </c>
      <c r="B23" s="105">
        <v>-3.5244300011916252E-2</v>
      </c>
      <c r="C23" s="105">
        <v>8.4541376001656676E-2</v>
      </c>
      <c r="D23" s="104">
        <v>0.43876962396363073</v>
      </c>
      <c r="E23" s="105">
        <v>3.0924806333398891E-2</v>
      </c>
      <c r="F23" s="102">
        <v>0.39712680772554521</v>
      </c>
      <c r="H23" s="88"/>
      <c r="I23" s="88"/>
      <c r="J23" s="88"/>
    </row>
    <row r="24" spans="1:10" x14ac:dyDescent="0.35">
      <c r="A24" s="111" t="s">
        <v>58</v>
      </c>
      <c r="B24" s="110">
        <v>0.23332634228188098</v>
      </c>
      <c r="C24" s="110">
        <v>0.19983635448136416</v>
      </c>
      <c r="D24" s="109">
        <v>0.47104009397397339</v>
      </c>
      <c r="E24" s="110">
        <v>0.16626966959767397</v>
      </c>
      <c r="F24" s="107">
        <v>0.45218297092196602</v>
      </c>
      <c r="H24" s="88"/>
      <c r="I24" s="88"/>
      <c r="J24" s="88"/>
    </row>
    <row r="25" spans="1:10" x14ac:dyDescent="0.35">
      <c r="A25" s="106" t="s">
        <v>57</v>
      </c>
      <c r="B25" s="105">
        <v>103.13902803981523</v>
      </c>
      <c r="C25" s="105">
        <v>101.3786102560744</v>
      </c>
      <c r="D25" s="104">
        <v>96.9551648474215</v>
      </c>
      <c r="E25" s="105">
        <v>103.56166146520383</v>
      </c>
      <c r="F25" s="102">
        <v>98.150026946338286</v>
      </c>
      <c r="H25" s="88"/>
      <c r="I25" s="88"/>
      <c r="J25" s="88"/>
    </row>
    <row r="26" spans="1:10" x14ac:dyDescent="0.35">
      <c r="A26" s="111" t="s">
        <v>56</v>
      </c>
      <c r="B26" s="110">
        <v>109.26666207181751</v>
      </c>
      <c r="C26" s="110">
        <v>105.88979717481273</v>
      </c>
      <c r="D26" s="109">
        <v>101.9341223948949</v>
      </c>
      <c r="E26" s="110">
        <v>109.22664494892938</v>
      </c>
      <c r="F26" s="107">
        <v>103.78941864704068</v>
      </c>
      <c r="H26" s="88"/>
      <c r="I26" s="88"/>
      <c r="J26" s="88"/>
    </row>
    <row r="27" spans="1:10" x14ac:dyDescent="0.35">
      <c r="A27" s="106" t="s">
        <v>62</v>
      </c>
      <c r="B27" s="105">
        <v>109.21302140233099</v>
      </c>
      <c r="C27" s="105">
        <v>107.67078612155092</v>
      </c>
      <c r="D27" s="104">
        <v>101.72046958709984</v>
      </c>
      <c r="E27" s="105">
        <v>106.8463050769053</v>
      </c>
      <c r="F27" s="102">
        <v>101.19578388660526</v>
      </c>
      <c r="H27" s="88"/>
      <c r="I27" s="88"/>
      <c r="J27" s="88"/>
    </row>
    <row r="28" spans="1:10" x14ac:dyDescent="0.35">
      <c r="A28" s="111" t="s">
        <v>61</v>
      </c>
      <c r="B28" s="110">
        <v>100.76246865500981</v>
      </c>
      <c r="C28" s="110">
        <v>99.764895096303661</v>
      </c>
      <c r="D28" s="109">
        <v>96.314695429046509</v>
      </c>
      <c r="E28" s="110">
        <v>99.001029809402652</v>
      </c>
      <c r="F28" s="107">
        <v>95.816612827648669</v>
      </c>
      <c r="H28" s="88"/>
      <c r="I28" s="88"/>
      <c r="J28" s="88"/>
    </row>
    <row r="29" spans="1:10" x14ac:dyDescent="0.35">
      <c r="A29" s="125" t="s">
        <v>20</v>
      </c>
      <c r="B29" s="124"/>
      <c r="C29" s="124"/>
      <c r="D29" s="124"/>
      <c r="E29" s="124"/>
      <c r="F29" s="123"/>
      <c r="H29" s="88"/>
      <c r="I29" s="88"/>
      <c r="J29" s="88"/>
    </row>
    <row r="30" spans="1:10" x14ac:dyDescent="0.35">
      <c r="A30" s="106" t="s">
        <v>51</v>
      </c>
      <c r="B30" s="105">
        <v>100.53904854684201</v>
      </c>
      <c r="C30" s="105">
        <v>102.12886744252059</v>
      </c>
      <c r="D30" s="104">
        <v>93.105822485612947</v>
      </c>
      <c r="E30" s="103">
        <v>101.00132433218127</v>
      </c>
      <c r="F30" s="102">
        <v>95.031628893548429</v>
      </c>
      <c r="H30" s="88"/>
      <c r="I30" s="88"/>
      <c r="J30" s="88"/>
    </row>
    <row r="31" spans="1:10" x14ac:dyDescent="0.35">
      <c r="A31" s="111" t="s">
        <v>50</v>
      </c>
      <c r="B31" s="110">
        <v>0.54565987946283423</v>
      </c>
      <c r="C31" s="110">
        <v>0.17155969205034927</v>
      </c>
      <c r="D31" s="109">
        <v>2.54778221710249</v>
      </c>
      <c r="E31" s="108">
        <v>-1.0552641853900369E-3</v>
      </c>
      <c r="F31" s="107">
        <v>2.2918429271874818</v>
      </c>
      <c r="H31" s="88"/>
      <c r="I31" s="88"/>
      <c r="J31" s="88"/>
    </row>
    <row r="32" spans="1:10" x14ac:dyDescent="0.35">
      <c r="A32" s="106" t="s">
        <v>58</v>
      </c>
      <c r="B32" s="105">
        <v>0</v>
      </c>
      <c r="C32" s="105">
        <v>1.077203149746353E-3</v>
      </c>
      <c r="D32" s="104">
        <v>2.2384648038226818</v>
      </c>
      <c r="E32" s="103">
        <v>1.0552307789679638E-3</v>
      </c>
      <c r="F32" s="102">
        <v>2.1403697727291782</v>
      </c>
      <c r="H32" s="88"/>
      <c r="I32" s="88"/>
      <c r="J32" s="88"/>
    </row>
    <row r="33" spans="1:10" x14ac:dyDescent="0.35">
      <c r="A33" s="111" t="s">
        <v>57</v>
      </c>
      <c r="B33" s="110">
        <v>95.109800732004885</v>
      </c>
      <c r="C33" s="110">
        <v>98.274030801911834</v>
      </c>
      <c r="D33" s="109">
        <v>92.865387576774694</v>
      </c>
      <c r="E33" s="108">
        <v>99.115015664868707</v>
      </c>
      <c r="F33" s="107">
        <v>92.527364626036132</v>
      </c>
      <c r="H33" s="88"/>
      <c r="I33" s="88"/>
      <c r="J33" s="88"/>
    </row>
    <row r="34" spans="1:10" x14ac:dyDescent="0.35">
      <c r="A34" s="106" t="s">
        <v>56</v>
      </c>
      <c r="B34" s="105">
        <v>95.690272426608487</v>
      </c>
      <c r="C34" s="105">
        <v>100.20305942872614</v>
      </c>
      <c r="D34" s="104">
        <v>91.876923795994145</v>
      </c>
      <c r="E34" s="103">
        <v>103.25022711214294</v>
      </c>
      <c r="F34" s="102">
        <v>89.804444151920364</v>
      </c>
      <c r="H34" s="88"/>
      <c r="I34" s="88"/>
      <c r="J34" s="88"/>
    </row>
    <row r="35" spans="1:10" x14ac:dyDescent="0.35">
      <c r="A35" s="111" t="s">
        <v>60</v>
      </c>
      <c r="B35" s="110">
        <v>102.5384377257249</v>
      </c>
      <c r="C35" s="110">
        <v>106.20886003871996</v>
      </c>
      <c r="D35" s="109">
        <v>94.670888333927934</v>
      </c>
      <c r="E35" s="108">
        <v>107.13978835021707</v>
      </c>
      <c r="F35" s="107">
        <v>94.056932269296951</v>
      </c>
      <c r="H35" s="88"/>
      <c r="I35" s="88"/>
      <c r="J35" s="88"/>
    </row>
    <row r="36" spans="1:10" x14ac:dyDescent="0.35">
      <c r="A36" s="106" t="s">
        <v>59</v>
      </c>
      <c r="B36" s="105">
        <v>88.225042708584141</v>
      </c>
      <c r="C36" s="105">
        <v>91.273203507573157</v>
      </c>
      <c r="D36" s="104">
        <v>83.855666307503625</v>
      </c>
      <c r="E36" s="103">
        <v>92.07330861070912</v>
      </c>
      <c r="F36" s="122">
        <v>83.305904438452842</v>
      </c>
      <c r="H36" s="88"/>
      <c r="I36" s="88"/>
      <c r="J36" s="88"/>
    </row>
    <row r="37" spans="1:10" x14ac:dyDescent="0.35">
      <c r="A37" s="121" t="s">
        <v>10</v>
      </c>
      <c r="B37" s="120"/>
      <c r="C37" s="120"/>
      <c r="D37" s="120"/>
      <c r="E37" s="120"/>
      <c r="F37" s="119"/>
      <c r="H37" s="88"/>
      <c r="I37" s="88"/>
      <c r="J37" s="88"/>
    </row>
    <row r="38" spans="1:10" x14ac:dyDescent="0.35">
      <c r="A38" s="106" t="s">
        <v>51</v>
      </c>
      <c r="B38" s="105">
        <v>92.733303181064372</v>
      </c>
      <c r="C38" s="105">
        <v>90.486370924639232</v>
      </c>
      <c r="D38" s="104">
        <v>90.303209142071765</v>
      </c>
      <c r="E38" s="103">
        <v>91.542826263172117</v>
      </c>
      <c r="F38" s="102">
        <v>91.299275514381847</v>
      </c>
      <c r="H38" s="88"/>
      <c r="I38" s="88"/>
      <c r="J38" s="88"/>
    </row>
    <row r="39" spans="1:10" x14ac:dyDescent="0.35">
      <c r="A39" s="111" t="s">
        <v>50</v>
      </c>
      <c r="B39" s="110">
        <v>9.7460058590800642</v>
      </c>
      <c r="C39" s="110">
        <v>10.152299633633088</v>
      </c>
      <c r="D39" s="109">
        <v>9.2482325469735116</v>
      </c>
      <c r="E39" s="108">
        <v>10.185784948769284</v>
      </c>
      <c r="F39" s="107">
        <v>9.2356339587371004</v>
      </c>
      <c r="H39" s="88"/>
      <c r="I39" s="88"/>
      <c r="J39" s="88"/>
    </row>
    <row r="40" spans="1:10" x14ac:dyDescent="0.35">
      <c r="A40" s="106" t="s">
        <v>58</v>
      </c>
      <c r="B40" s="105">
        <v>10.958632974863104</v>
      </c>
      <c r="C40" s="105">
        <v>10.858812203299806</v>
      </c>
      <c r="D40" s="104">
        <v>12.053771184956375</v>
      </c>
      <c r="E40" s="103">
        <v>10.758798837584759</v>
      </c>
      <c r="F40" s="102">
        <v>11.972895108572123</v>
      </c>
      <c r="H40" s="88"/>
      <c r="I40" s="88"/>
      <c r="J40" s="88"/>
    </row>
    <row r="41" spans="1:10" x14ac:dyDescent="0.35">
      <c r="A41" s="111" t="s">
        <v>57</v>
      </c>
      <c r="B41" s="110">
        <v>76.170925180372308</v>
      </c>
      <c r="C41" s="110">
        <v>71.676211112830828</v>
      </c>
      <c r="D41" s="109">
        <v>70.240267556253883</v>
      </c>
      <c r="E41" s="108">
        <v>73.008453909933351</v>
      </c>
      <c r="F41" s="107">
        <v>73.212677807008802</v>
      </c>
      <c r="H41" s="88"/>
      <c r="I41" s="88"/>
      <c r="J41" s="88"/>
    </row>
    <row r="42" spans="1:10" x14ac:dyDescent="0.35">
      <c r="A42" s="106" t="s">
        <v>56</v>
      </c>
      <c r="B42" s="105">
        <v>63.178602129207171</v>
      </c>
      <c r="C42" s="105">
        <v>60.782254889093053</v>
      </c>
      <c r="D42" s="104">
        <v>63.600436314437992</v>
      </c>
      <c r="E42" s="103">
        <v>58.382085283411335</v>
      </c>
      <c r="F42" s="102">
        <v>60.075548708762398</v>
      </c>
      <c r="H42" s="88"/>
      <c r="I42" s="88"/>
      <c r="J42" s="88"/>
    </row>
    <row r="43" spans="1:10" x14ac:dyDescent="0.35">
      <c r="A43" s="111" t="s">
        <v>55</v>
      </c>
      <c r="B43" s="110">
        <v>74.508877337473848</v>
      </c>
      <c r="C43" s="110">
        <v>73.655218554861733</v>
      </c>
      <c r="D43" s="109">
        <v>72.862042704061992</v>
      </c>
      <c r="E43" s="108">
        <v>75.19066647480102</v>
      </c>
      <c r="F43" s="107">
        <v>73.197457862217306</v>
      </c>
      <c r="H43" s="88"/>
      <c r="I43" s="88"/>
      <c r="J43" s="88"/>
    </row>
    <row r="44" spans="1:10" x14ac:dyDescent="0.35">
      <c r="A44" s="106" t="s">
        <v>54</v>
      </c>
      <c r="B44" s="105">
        <v>76.822160714687556</v>
      </c>
      <c r="C44" s="105">
        <v>75.478367528991981</v>
      </c>
      <c r="D44" s="104">
        <v>78.400458538136903</v>
      </c>
      <c r="E44" s="103">
        <v>77.051394162119081</v>
      </c>
      <c r="F44" s="102">
        <v>78.773452915283144</v>
      </c>
      <c r="H44" s="88"/>
      <c r="I44" s="118"/>
      <c r="J44" s="118"/>
    </row>
    <row r="45" spans="1:10" x14ac:dyDescent="0.35">
      <c r="A45" s="111" t="s">
        <v>53</v>
      </c>
      <c r="B45" s="110">
        <v>62.310132991291432</v>
      </c>
      <c r="C45" s="110">
        <v>61.634701159678862</v>
      </c>
      <c r="D45" s="109">
        <v>60.675903080458362</v>
      </c>
      <c r="E45" s="108">
        <v>61.664139205897648</v>
      </c>
      <c r="F45" s="107">
        <v>59.146954254527095</v>
      </c>
      <c r="H45" s="88"/>
      <c r="I45" s="88"/>
      <c r="J45" s="88"/>
    </row>
    <row r="46" spans="1:10" x14ac:dyDescent="0.35">
      <c r="A46" s="117" t="s">
        <v>52</v>
      </c>
      <c r="B46" s="116"/>
      <c r="C46" s="116"/>
      <c r="D46" s="116"/>
      <c r="E46" s="116"/>
      <c r="F46" s="115"/>
      <c r="H46" s="88"/>
      <c r="I46" s="88"/>
      <c r="J46" s="88"/>
    </row>
    <row r="47" spans="1:10" x14ac:dyDescent="0.35">
      <c r="A47" s="106" t="s">
        <v>51</v>
      </c>
      <c r="B47" s="105">
        <v>57.925455662502557</v>
      </c>
      <c r="C47" s="105">
        <v>59.893132170359898</v>
      </c>
      <c r="D47" s="104">
        <v>68.075095204300098</v>
      </c>
      <c r="E47" s="103">
        <v>60.116731517509727</v>
      </c>
      <c r="F47" s="102">
        <v>69.076045758390194</v>
      </c>
      <c r="H47" s="88"/>
      <c r="I47" s="88"/>
      <c r="J47" s="88"/>
    </row>
    <row r="48" spans="1:10" x14ac:dyDescent="0.35">
      <c r="A48" s="111" t="s">
        <v>50</v>
      </c>
      <c r="B48" s="110">
        <v>17.974965524557117</v>
      </c>
      <c r="C48" s="110">
        <v>17.72096936144807</v>
      </c>
      <c r="D48" s="109">
        <v>8.5439504278360232</v>
      </c>
      <c r="E48" s="108">
        <v>17.588538491381701</v>
      </c>
      <c r="F48" s="107">
        <v>8.3337551407782318</v>
      </c>
      <c r="H48" s="88"/>
      <c r="I48" s="88"/>
      <c r="J48" s="88"/>
    </row>
    <row r="49" spans="1:10" x14ac:dyDescent="0.35">
      <c r="A49" s="106" t="s">
        <v>49</v>
      </c>
      <c r="B49" s="105">
        <v>20.770631752564025</v>
      </c>
      <c r="C49" s="105">
        <v>20.169459030536711</v>
      </c>
      <c r="D49" s="104">
        <v>30.621789759912865</v>
      </c>
      <c r="E49" s="103">
        <v>19.592155538198476</v>
      </c>
      <c r="F49" s="102">
        <v>30.806235981494044</v>
      </c>
      <c r="H49" s="88"/>
      <c r="I49" s="88"/>
      <c r="J49" s="88"/>
    </row>
    <row r="50" spans="1:10" x14ac:dyDescent="0.35">
      <c r="A50" s="111" t="s">
        <v>48</v>
      </c>
      <c r="B50" s="110">
        <v>24.458079831878269</v>
      </c>
      <c r="C50" s="110">
        <v>23.676094527043524</v>
      </c>
      <c r="D50" s="109">
        <v>34.484611655840489</v>
      </c>
      <c r="E50" s="108">
        <v>22.971691206895454</v>
      </c>
      <c r="F50" s="107">
        <v>34.683476115270743</v>
      </c>
      <c r="H50" s="88"/>
      <c r="I50" s="88"/>
      <c r="J50" s="88"/>
    </row>
    <row r="51" spans="1:10" x14ac:dyDescent="0.35">
      <c r="A51" s="106" t="s">
        <v>47</v>
      </c>
      <c r="B51" s="105">
        <v>30.619300271122242</v>
      </c>
      <c r="C51" s="105">
        <v>31.80714221462625</v>
      </c>
      <c r="D51" s="104">
        <v>42.545891307303194</v>
      </c>
      <c r="E51" s="103">
        <v>30.829657073378787</v>
      </c>
      <c r="F51" s="102">
        <v>42.84947472301657</v>
      </c>
      <c r="H51" s="88"/>
      <c r="I51" s="88"/>
      <c r="J51" s="88"/>
    </row>
    <row r="52" spans="1:10" x14ac:dyDescent="0.35">
      <c r="A52" s="114" t="s">
        <v>46</v>
      </c>
      <c r="B52" s="113"/>
      <c r="C52" s="113"/>
      <c r="D52" s="113"/>
      <c r="E52" s="113"/>
      <c r="F52" s="112"/>
      <c r="H52" s="88"/>
      <c r="I52" s="88"/>
      <c r="J52" s="88"/>
    </row>
    <row r="53" spans="1:10" x14ac:dyDescent="0.35">
      <c r="A53" s="111" t="s">
        <v>45</v>
      </c>
      <c r="B53" s="110">
        <v>13.65907653646863</v>
      </c>
      <c r="C53" s="110">
        <v>13.550802136721405</v>
      </c>
      <c r="D53" s="109">
        <v>13.596245811879109</v>
      </c>
      <c r="E53" s="108">
        <v>13.4711500682186</v>
      </c>
      <c r="F53" s="107">
        <v>13.486295481889201</v>
      </c>
      <c r="H53" s="88"/>
      <c r="I53" s="88"/>
      <c r="J53" s="88"/>
    </row>
    <row r="54" spans="1:10" x14ac:dyDescent="0.35">
      <c r="A54" s="106" t="s">
        <v>44</v>
      </c>
      <c r="B54" s="105">
        <v>10.24</v>
      </c>
      <c r="C54" s="105">
        <v>10.364992751284799</v>
      </c>
      <c r="D54" s="104">
        <v>9.8556313156987496</v>
      </c>
      <c r="E54" s="103">
        <v>10.489985502569597</v>
      </c>
      <c r="F54" s="102">
        <v>9.971262631397499</v>
      </c>
      <c r="H54" s="88"/>
      <c r="I54" s="88"/>
      <c r="J54" s="88"/>
    </row>
    <row r="55" spans="1:10" x14ac:dyDescent="0.35">
      <c r="A55" s="101" t="s">
        <v>43</v>
      </c>
      <c r="B55" s="100">
        <v>2.9917089985745595</v>
      </c>
      <c r="C55" s="100">
        <v>2.9158035101890181</v>
      </c>
      <c r="D55" s="99">
        <v>4.4889089590471833</v>
      </c>
      <c r="E55" s="98">
        <v>2.8159605040459321</v>
      </c>
      <c r="F55" s="97">
        <v>4.3201167946423542</v>
      </c>
      <c r="H55" s="88"/>
      <c r="I55" s="88"/>
      <c r="J55" s="88"/>
    </row>
    <row r="56" spans="1:10" ht="14.25" customHeight="1" x14ac:dyDescent="0.35">
      <c r="A56" s="96"/>
      <c r="B56" s="95"/>
      <c r="D56" s="94"/>
      <c r="F56" s="94" t="s">
        <v>1</v>
      </c>
      <c r="H56" s="88"/>
      <c r="I56" s="88"/>
      <c r="J56" s="88"/>
    </row>
    <row r="57" spans="1:10" s="91" customFormat="1" ht="83.25" customHeight="1" x14ac:dyDescent="0.35">
      <c r="A57" s="154" t="s">
        <v>42</v>
      </c>
      <c r="B57" s="154"/>
      <c r="C57" s="154"/>
      <c r="D57" s="154"/>
      <c r="E57" s="93"/>
      <c r="G57" s="92"/>
      <c r="H57" s="88"/>
      <c r="I57" s="88"/>
      <c r="J57" s="88"/>
    </row>
    <row r="58" spans="1:10" x14ac:dyDescent="0.35">
      <c r="B58" s="88"/>
      <c r="C58" s="88"/>
      <c r="D58" s="88"/>
      <c r="E58" s="90"/>
      <c r="H58" s="88"/>
      <c r="I58" s="88"/>
      <c r="J58" s="88"/>
    </row>
    <row r="59" spans="1:10" x14ac:dyDescent="0.35">
      <c r="H59" s="88"/>
      <c r="I59" s="88"/>
      <c r="J59" s="88"/>
    </row>
    <row r="60" spans="1:10" x14ac:dyDescent="0.35">
      <c r="E60" s="89"/>
      <c r="H60" s="88"/>
      <c r="I60" s="88"/>
      <c r="J60" s="88"/>
    </row>
    <row r="61" spans="1:10" x14ac:dyDescent="0.35">
      <c r="E61" s="89"/>
      <c r="H61" s="88"/>
    </row>
    <row r="62" spans="1:10" x14ac:dyDescent="0.35">
      <c r="A62" s="89"/>
      <c r="B62" s="89"/>
      <c r="C62" s="89"/>
      <c r="D62" s="89"/>
      <c r="E62" s="89"/>
      <c r="H62" s="88"/>
    </row>
    <row r="63" spans="1:10" x14ac:dyDescent="0.35">
      <c r="A63" s="89"/>
      <c r="B63" s="89"/>
      <c r="C63" s="89"/>
      <c r="D63" s="89"/>
      <c r="E63" s="89"/>
      <c r="H63" s="88"/>
    </row>
    <row r="64" spans="1:10" x14ac:dyDescent="0.35">
      <c r="A64" s="89"/>
      <c r="B64" s="89"/>
      <c r="C64" s="89"/>
      <c r="D64" s="89"/>
      <c r="E64" s="89"/>
      <c r="H64" s="88"/>
    </row>
    <row r="65" spans="8:8" x14ac:dyDescent="0.35">
      <c r="H65" s="88"/>
    </row>
    <row r="66" spans="8:8" x14ac:dyDescent="0.35">
      <c r="H66" s="88"/>
    </row>
    <row r="67" spans="8:8" x14ac:dyDescent="0.35">
      <c r="H67" s="88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Qroo</vt:lpstr>
      <vt:lpstr>Q. ROO</vt:lpstr>
      <vt:lpstr>'Est Qroo'!Área_de_impresión</vt:lpstr>
      <vt:lpstr>'Q. ROO'!Área_de_impresión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2022-09-07T17:51:02Z</cp:lastPrinted>
  <dcterms:created xsi:type="dcterms:W3CDTF">2022-09-06T18:59:12Z</dcterms:created>
  <dcterms:modified xsi:type="dcterms:W3CDTF">2022-09-07T19:10:09Z</dcterms:modified>
</cp:coreProperties>
</file>