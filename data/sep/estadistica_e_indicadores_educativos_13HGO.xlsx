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109F624E-743E-4D4E-9BBA-7E94AC9E68BB}" xr6:coauthVersionLast="47" xr6:coauthVersionMax="47" xr10:uidLastSave="{00000000-0000-0000-0000-000000000000}"/>
  <bookViews>
    <workbookView xWindow="-120" yWindow="-120" windowWidth="29040" windowHeight="15840" xr2:uid="{B1EDF630-73FB-4EEC-A949-678270E3160A}"/>
  </bookViews>
  <sheets>
    <sheet name="Est Hgo" sheetId="1" r:id="rId1"/>
    <sheet name="HG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Hgo'!$A$1:$F$74</definedName>
    <definedName name="_xlnm.Print_Area" localSheetId="1">HGO!$A$1:$F$57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D19" i="1"/>
  <c r="E19" i="1"/>
  <c r="F19" i="1"/>
  <c r="C20" i="1"/>
  <c r="B20" i="1" s="1"/>
  <c r="D20" i="1"/>
  <c r="E20" i="1"/>
  <c r="E17" i="1" s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B62" i="1"/>
  <c r="C62" i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F14" i="1" l="1"/>
  <c r="F16" i="1"/>
  <c r="F13" i="1" s="1"/>
  <c r="C15" i="1"/>
  <c r="B15" i="1" s="1"/>
  <c r="B18" i="1"/>
  <c r="D16" i="1"/>
  <c r="D13" i="1" s="1"/>
  <c r="C16" i="1"/>
  <c r="E16" i="1"/>
  <c r="E13" i="1" s="1"/>
  <c r="E14" i="1"/>
  <c r="B17" i="1"/>
  <c r="B60" i="1"/>
  <c r="C19" i="1"/>
  <c r="B19" i="1" s="1"/>
  <c r="D14" i="1"/>
  <c r="C14" i="1"/>
  <c r="B21" i="1"/>
  <c r="C13" i="1" l="1"/>
  <c r="B13" i="1" s="1"/>
  <c r="B16" i="1"/>
  <c r="B14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<sst xmlns="http://schemas.openxmlformats.org/spreadsheetml/2006/main" count="133" uniqueCount="78">
  <si>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</si>
  <si>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</si>
  <si>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</si>
  <si>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</si>
  <si>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</si>
  <si>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</si>
  <si>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</si>
  <si>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</si>
  <si>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</si>
  <si>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</si>
  <si>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</si>
  <si>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</si>
  <si>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</si>
  <si>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</si>
  <si>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</si>
  <si>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</si>
  <si>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</si>
  <si>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</si>
  <si>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</si>
  <si>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</si>
  <si>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</si>
  <si>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</si>
  <si>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</si>
  <si>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</si>
  <si>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</si>
  <si>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</si>
  <si>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</si>
  <si>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</si>
  <si>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</si>
  <si>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</si>
  <si>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</si>
  <si>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</si>
  <si>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</si>
  <si>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</si>
  <si>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</si>
  <si>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</si>
  <si>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</si>
  <si>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</si>
  <si>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Hidalgo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</si>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</sst>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69C3F475-3CB5-4A97-A4A0-894429305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2BBDE5B9-979B-41F1-AD0F-4DFA9FC02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C35A9D19-7BD5-4DA6-A317-0B7F89DFA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FF56-9281-48EE-9A31-C309D49328AC}">
  <sheetPr codeName="Hoja1">
    <tabColor rgb="FFD4C19C"/>
    <pageSetUpPr fitToPage="1"/>
  </sheetPr>
  <dimension ref="A1:P124"/>
  <sheetViews>
    <sheetView showGridLines="0" showZeros="0" tabSelected="1" workbookViewId="0">
      <selection activeCell="F11" sqref="F11:F12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859902</v>
      </c>
      <c r="C13" s="81">
        <f>C16+C62+C68</f>
        <v>436070</v>
      </c>
      <c r="D13" s="81">
        <f>D16+D62+D68</f>
        <v>423832</v>
      </c>
      <c r="E13" s="81">
        <f>E16+E62+E68</f>
        <v>56463</v>
      </c>
      <c r="F13" s="81">
        <f>F16+F62+F68</f>
        <v>8576</v>
      </c>
    </row>
    <row r="14" spans="1:16" ht="18" customHeight="1" x14ac:dyDescent="0.35">
      <c r="A14" s="40" t="s">
        <v>3</v>
      </c>
      <c r="B14" s="39">
        <f t="shared" si="0"/>
        <v>773165</v>
      </c>
      <c r="C14" s="39">
        <f t="shared" ref="C14:F15" si="1">C17+C66+C71</f>
        <v>389548</v>
      </c>
      <c r="D14" s="39">
        <f t="shared" si="1"/>
        <v>383617</v>
      </c>
      <c r="E14" s="39">
        <f t="shared" si="1"/>
        <v>45822</v>
      </c>
      <c r="F14" s="39">
        <f t="shared" si="1"/>
        <v>7561</v>
      </c>
    </row>
    <row r="15" spans="1:16" ht="18" customHeight="1" x14ac:dyDescent="0.35">
      <c r="A15" s="38" t="s">
        <v>2</v>
      </c>
      <c r="B15" s="37">
        <f t="shared" si="0"/>
        <v>86737</v>
      </c>
      <c r="C15" s="37">
        <f t="shared" si="1"/>
        <v>46522</v>
      </c>
      <c r="D15" s="37">
        <f t="shared" si="1"/>
        <v>40215</v>
      </c>
      <c r="E15" s="37">
        <f t="shared" si="1"/>
        <v>10641</v>
      </c>
      <c r="F15" s="37">
        <f t="shared" si="1"/>
        <v>1015</v>
      </c>
    </row>
    <row r="16" spans="1:16" ht="18" customHeight="1" x14ac:dyDescent="0.35">
      <c r="A16" s="43" t="s">
        <v>29</v>
      </c>
      <c r="B16" s="42">
        <f t="shared" si="0"/>
        <v>849447</v>
      </c>
      <c r="C16" s="42">
        <f>C17+C18</f>
        <v>429996</v>
      </c>
      <c r="D16" s="42">
        <f>D17+D18</f>
        <v>419451</v>
      </c>
      <c r="E16" s="42">
        <f>E17+E18</f>
        <v>55338</v>
      </c>
      <c r="F16" s="41">
        <f>F17+F18</f>
        <v>8514</v>
      </c>
    </row>
    <row r="17" spans="1:6" ht="18" customHeight="1" x14ac:dyDescent="0.35">
      <c r="A17" s="40" t="s">
        <v>3</v>
      </c>
      <c r="B17" s="39">
        <f t="shared" si="0"/>
        <v>768415</v>
      </c>
      <c r="C17" s="39">
        <f t="shared" ref="C17:F18" si="2">C20+C50+C57</f>
        <v>386909</v>
      </c>
      <c r="D17" s="39">
        <f t="shared" si="2"/>
        <v>381506</v>
      </c>
      <c r="E17" s="39">
        <f t="shared" si="2"/>
        <v>45488</v>
      </c>
      <c r="F17" s="39">
        <f t="shared" si="2"/>
        <v>7533</v>
      </c>
    </row>
    <row r="18" spans="1:6" ht="18" customHeight="1" x14ac:dyDescent="0.35">
      <c r="A18" s="38" t="s">
        <v>2</v>
      </c>
      <c r="B18" s="37">
        <f t="shared" si="0"/>
        <v>81032</v>
      </c>
      <c r="C18" s="37">
        <f t="shared" si="2"/>
        <v>43087</v>
      </c>
      <c r="D18" s="37">
        <f t="shared" si="2"/>
        <v>37945</v>
      </c>
      <c r="E18" s="37">
        <f t="shared" si="2"/>
        <v>9850</v>
      </c>
      <c r="F18" s="37">
        <f t="shared" si="2"/>
        <v>981</v>
      </c>
    </row>
    <row r="19" spans="1:6" ht="18" customHeight="1" x14ac:dyDescent="0.35">
      <c r="A19" s="80" t="s">
        <v>28</v>
      </c>
      <c r="B19" s="79">
        <f t="shared" si="0"/>
        <v>608409</v>
      </c>
      <c r="C19" s="79">
        <f>C20+C21</f>
        <v>300994</v>
      </c>
      <c r="D19" s="79">
        <f>D20+D21</f>
        <v>307415</v>
      </c>
      <c r="E19" s="79">
        <f>E20+E21</f>
        <v>33343</v>
      </c>
      <c r="F19" s="78">
        <f>F20+F21</f>
        <v>7823</v>
      </c>
    </row>
    <row r="20" spans="1:6" ht="18" customHeight="1" x14ac:dyDescent="0.35">
      <c r="A20" s="40" t="s">
        <v>3</v>
      </c>
      <c r="B20" s="39">
        <f t="shared" si="0"/>
        <v>562672</v>
      </c>
      <c r="C20" s="39">
        <f t="shared" ref="C20:F21" si="3">C25+C31+C37+C43</f>
        <v>278348</v>
      </c>
      <c r="D20" s="39">
        <f t="shared" si="3"/>
        <v>284324</v>
      </c>
      <c r="E20" s="39">
        <f t="shared" si="3"/>
        <v>29090</v>
      </c>
      <c r="F20" s="77">
        <f t="shared" si="3"/>
        <v>7075</v>
      </c>
    </row>
    <row r="21" spans="1:6" ht="18" customHeight="1" x14ac:dyDescent="0.35">
      <c r="A21" s="76" t="s">
        <v>2</v>
      </c>
      <c r="B21" s="75">
        <f t="shared" si="0"/>
        <v>45737</v>
      </c>
      <c r="C21" s="75">
        <f t="shared" si="3"/>
        <v>22646</v>
      </c>
      <c r="D21" s="75">
        <f t="shared" si="3"/>
        <v>23091</v>
      </c>
      <c r="E21" s="75">
        <f t="shared" si="3"/>
        <v>4253</v>
      </c>
      <c r="F21" s="74">
        <f t="shared" si="3"/>
        <v>748</v>
      </c>
    </row>
    <row r="22" spans="1:6" ht="18" customHeight="1" x14ac:dyDescent="0.35">
      <c r="A22" s="69" t="s">
        <v>27</v>
      </c>
      <c r="B22" s="68">
        <f t="shared" si="0"/>
        <v>3553</v>
      </c>
      <c r="C22" s="68">
        <f>C23+C24</f>
        <v>1761</v>
      </c>
      <c r="D22" s="68">
        <f>D23+D24</f>
        <v>1792</v>
      </c>
      <c r="E22" s="68">
        <f>E23+E24</f>
        <v>200</v>
      </c>
      <c r="F22" s="67">
        <f>F23+F24</f>
        <v>152</v>
      </c>
    </row>
    <row r="23" spans="1:6" ht="18" customHeight="1" x14ac:dyDescent="0.35">
      <c r="A23" s="72" t="s">
        <v>23</v>
      </c>
      <c r="B23" s="49">
        <f t="shared" si="0"/>
        <v>1644</v>
      </c>
      <c r="C23" s="49">
        <v>811</v>
      </c>
      <c r="D23" s="49">
        <v>833</v>
      </c>
      <c r="E23" s="49">
        <v>69</v>
      </c>
      <c r="F23" s="9">
        <v>48</v>
      </c>
    </row>
    <row r="24" spans="1:6" ht="18" customHeight="1" x14ac:dyDescent="0.35">
      <c r="A24" s="73" t="s">
        <v>22</v>
      </c>
      <c r="B24" s="50">
        <f t="shared" si="0"/>
        <v>1909</v>
      </c>
      <c r="C24" s="50">
        <v>950</v>
      </c>
      <c r="D24" s="50">
        <v>959</v>
      </c>
      <c r="E24" s="50">
        <v>131</v>
      </c>
      <c r="F24" s="46">
        <v>104</v>
      </c>
    </row>
    <row r="25" spans="1:6" ht="18" customHeight="1" x14ac:dyDescent="0.35">
      <c r="A25" s="34" t="s">
        <v>3</v>
      </c>
      <c r="B25" s="11">
        <f t="shared" si="0"/>
        <v>2288</v>
      </c>
      <c r="C25" s="11">
        <v>1143</v>
      </c>
      <c r="D25" s="11">
        <v>1145</v>
      </c>
      <c r="E25" s="11">
        <v>163</v>
      </c>
      <c r="F25" s="9">
        <v>116</v>
      </c>
    </row>
    <row r="26" spans="1:6" ht="18" customHeight="1" x14ac:dyDescent="0.35">
      <c r="A26" s="58" t="s">
        <v>2</v>
      </c>
      <c r="B26" s="57">
        <f t="shared" si="0"/>
        <v>1265</v>
      </c>
      <c r="C26" s="57">
        <v>618</v>
      </c>
      <c r="D26" s="57">
        <v>647</v>
      </c>
      <c r="E26" s="57">
        <v>37</v>
      </c>
      <c r="F26" s="56">
        <v>36</v>
      </c>
    </row>
    <row r="27" spans="1:6" ht="18" customHeight="1" x14ac:dyDescent="0.35">
      <c r="A27" s="69" t="s">
        <v>26</v>
      </c>
      <c r="B27" s="68">
        <f t="shared" si="0"/>
        <v>98211</v>
      </c>
      <c r="C27" s="68">
        <f>C28+C29+C30</f>
        <v>48731</v>
      </c>
      <c r="D27" s="68">
        <f>D28+D29+D30</f>
        <v>49480</v>
      </c>
      <c r="E27" s="68">
        <f>E28+E29+E30</f>
        <v>6057</v>
      </c>
      <c r="F27" s="67">
        <f>F28+F29+F30</f>
        <v>3098</v>
      </c>
    </row>
    <row r="28" spans="1:6" ht="18" customHeight="1" x14ac:dyDescent="0.35">
      <c r="A28" s="72" t="s">
        <v>25</v>
      </c>
      <c r="B28" s="49">
        <f t="shared" si="0"/>
        <v>74001</v>
      </c>
      <c r="C28" s="49">
        <v>36759</v>
      </c>
      <c r="D28" s="49">
        <v>37242</v>
      </c>
      <c r="E28" s="49">
        <v>3924</v>
      </c>
      <c r="F28" s="9">
        <v>1405</v>
      </c>
    </row>
    <row r="29" spans="1:6" ht="18" customHeight="1" x14ac:dyDescent="0.35">
      <c r="A29" s="73" t="s">
        <v>22</v>
      </c>
      <c r="B29" s="50">
        <f t="shared" si="0"/>
        <v>14094</v>
      </c>
      <c r="C29" s="50">
        <v>6978</v>
      </c>
      <c r="D29" s="50">
        <v>7116</v>
      </c>
      <c r="E29" s="50">
        <v>889</v>
      </c>
      <c r="F29" s="46">
        <v>475</v>
      </c>
    </row>
    <row r="30" spans="1:6" ht="18" customHeight="1" x14ac:dyDescent="0.35">
      <c r="A30" s="72" t="s">
        <v>21</v>
      </c>
      <c r="B30" s="49">
        <f t="shared" si="0"/>
        <v>10116</v>
      </c>
      <c r="C30" s="49">
        <v>4994</v>
      </c>
      <c r="D30" s="49">
        <v>5122</v>
      </c>
      <c r="E30" s="49">
        <v>1244</v>
      </c>
      <c r="F30" s="9">
        <v>1218</v>
      </c>
    </row>
    <row r="31" spans="1:6" ht="18" customHeight="1" x14ac:dyDescent="0.35">
      <c r="A31" s="71" t="s">
        <v>3</v>
      </c>
      <c r="B31" s="66">
        <f t="shared" si="0"/>
        <v>91202</v>
      </c>
      <c r="C31" s="66">
        <v>45235</v>
      </c>
      <c r="D31" s="66">
        <v>45967</v>
      </c>
      <c r="E31" s="66">
        <v>5327</v>
      </c>
      <c r="F31" s="70">
        <v>2803</v>
      </c>
    </row>
    <row r="32" spans="1:6" ht="18" customHeight="1" x14ac:dyDescent="0.35">
      <c r="A32" s="30" t="s">
        <v>2</v>
      </c>
      <c r="B32" s="44">
        <f t="shared" si="0"/>
        <v>7009</v>
      </c>
      <c r="C32" s="44">
        <v>3496</v>
      </c>
      <c r="D32" s="44">
        <v>3513</v>
      </c>
      <c r="E32" s="44">
        <v>730</v>
      </c>
      <c r="F32" s="27">
        <v>295</v>
      </c>
    </row>
    <row r="33" spans="1:6" ht="18" customHeight="1" x14ac:dyDescent="0.35">
      <c r="A33" s="69" t="s">
        <v>24</v>
      </c>
      <c r="B33" s="68">
        <f t="shared" si="0"/>
        <v>337369</v>
      </c>
      <c r="C33" s="68">
        <f>C34+C35+C36</f>
        <v>166084</v>
      </c>
      <c r="D33" s="68">
        <f>D34+D35+D36</f>
        <v>171285</v>
      </c>
      <c r="E33" s="68">
        <f>E34+E35+E36</f>
        <v>16624</v>
      </c>
      <c r="F33" s="67">
        <f>F34+F35+F36</f>
        <v>3194</v>
      </c>
    </row>
    <row r="34" spans="1:6" ht="18" customHeight="1" x14ac:dyDescent="0.35">
      <c r="A34" s="72" t="s">
        <v>23</v>
      </c>
      <c r="B34" s="49">
        <f t="shared" si="0"/>
        <v>299817</v>
      </c>
      <c r="C34" s="49">
        <v>147470</v>
      </c>
      <c r="D34" s="49">
        <v>152347</v>
      </c>
      <c r="E34" s="49">
        <v>13790</v>
      </c>
      <c r="F34" s="9">
        <v>2159</v>
      </c>
    </row>
    <row r="35" spans="1:6" ht="18" customHeight="1" x14ac:dyDescent="0.35">
      <c r="A35" s="73" t="s">
        <v>22</v>
      </c>
      <c r="B35" s="50">
        <f t="shared" si="0"/>
        <v>33634</v>
      </c>
      <c r="C35" s="50">
        <v>16709</v>
      </c>
      <c r="D35" s="50">
        <v>16925</v>
      </c>
      <c r="E35" s="50">
        <v>2359</v>
      </c>
      <c r="F35" s="46">
        <v>603</v>
      </c>
    </row>
    <row r="36" spans="1:6" ht="18" customHeight="1" x14ac:dyDescent="0.35">
      <c r="A36" s="72" t="s">
        <v>21</v>
      </c>
      <c r="B36" s="49">
        <f t="shared" si="0"/>
        <v>3918</v>
      </c>
      <c r="C36" s="49">
        <v>1905</v>
      </c>
      <c r="D36" s="49">
        <v>2013</v>
      </c>
      <c r="E36" s="49">
        <v>475</v>
      </c>
      <c r="F36" s="9">
        <v>432</v>
      </c>
    </row>
    <row r="37" spans="1:6" ht="18" customHeight="1" x14ac:dyDescent="0.35">
      <c r="A37" s="71" t="s">
        <v>3</v>
      </c>
      <c r="B37" s="66">
        <f t="shared" si="0"/>
        <v>311597</v>
      </c>
      <c r="C37" s="66">
        <v>153359</v>
      </c>
      <c r="D37" s="66">
        <v>158238</v>
      </c>
      <c r="E37" s="66">
        <v>14907</v>
      </c>
      <c r="F37" s="70">
        <v>2939</v>
      </c>
    </row>
    <row r="38" spans="1:6" ht="18" customHeight="1" x14ac:dyDescent="0.35">
      <c r="A38" s="30" t="s">
        <v>2</v>
      </c>
      <c r="B38" s="44">
        <f t="shared" si="0"/>
        <v>25772</v>
      </c>
      <c r="C38" s="44">
        <v>12725</v>
      </c>
      <c r="D38" s="44">
        <v>13047</v>
      </c>
      <c r="E38" s="44">
        <v>1717</v>
      </c>
      <c r="F38" s="27">
        <v>255</v>
      </c>
    </row>
    <row r="39" spans="1:6" ht="18" customHeight="1" x14ac:dyDescent="0.35">
      <c r="A39" s="69" t="s">
        <v>20</v>
      </c>
      <c r="B39" s="68">
        <f t="shared" si="0"/>
        <v>169276</v>
      </c>
      <c r="C39" s="68">
        <f>C40+C41+C42</f>
        <v>84418</v>
      </c>
      <c r="D39" s="68">
        <f>D40+D41+D42</f>
        <v>84858</v>
      </c>
      <c r="E39" s="68">
        <f>E40+E41+E42</f>
        <v>10462</v>
      </c>
      <c r="F39" s="67">
        <f>F40+F41+F42</f>
        <v>1379</v>
      </c>
    </row>
    <row r="40" spans="1:6" ht="18" customHeight="1" x14ac:dyDescent="0.35">
      <c r="A40" s="61" t="s">
        <v>19</v>
      </c>
      <c r="B40" s="11">
        <f t="shared" si="0"/>
        <v>73527</v>
      </c>
      <c r="C40" s="49">
        <v>37061</v>
      </c>
      <c r="D40" s="49">
        <v>36466</v>
      </c>
      <c r="E40" s="11">
        <v>5422</v>
      </c>
      <c r="F40" s="9">
        <v>516</v>
      </c>
    </row>
    <row r="41" spans="1:6" ht="18" customHeight="1" x14ac:dyDescent="0.35">
      <c r="A41" s="62" t="s">
        <v>18</v>
      </c>
      <c r="B41" s="50">
        <f t="shared" si="0"/>
        <v>59876</v>
      </c>
      <c r="C41" s="50">
        <v>29385</v>
      </c>
      <c r="D41" s="50">
        <v>30491</v>
      </c>
      <c r="E41" s="50">
        <v>3278</v>
      </c>
      <c r="F41" s="46">
        <v>769</v>
      </c>
    </row>
    <row r="42" spans="1:6" ht="18" customHeight="1" x14ac:dyDescent="0.35">
      <c r="A42" s="61" t="s">
        <v>17</v>
      </c>
      <c r="B42" s="49">
        <f t="shared" si="0"/>
        <v>35873</v>
      </c>
      <c r="C42" s="49">
        <v>17972</v>
      </c>
      <c r="D42" s="49">
        <v>17901</v>
      </c>
      <c r="E42" s="49">
        <v>1762</v>
      </c>
      <c r="F42" s="9">
        <v>94</v>
      </c>
    </row>
    <row r="43" spans="1:6" ht="18" customHeight="1" x14ac:dyDescent="0.35">
      <c r="A43" s="62" t="s">
        <v>3</v>
      </c>
      <c r="B43" s="66">
        <f t="shared" si="0"/>
        <v>157585</v>
      </c>
      <c r="C43" s="47">
        <v>78611</v>
      </c>
      <c r="D43" s="47">
        <v>78974</v>
      </c>
      <c r="E43" s="47">
        <v>8693</v>
      </c>
      <c r="F43" s="46">
        <v>1217</v>
      </c>
    </row>
    <row r="44" spans="1:6" ht="18" customHeight="1" x14ac:dyDescent="0.35">
      <c r="A44" s="30" t="s">
        <v>2</v>
      </c>
      <c r="B44" s="44">
        <f t="shared" si="0"/>
        <v>11691</v>
      </c>
      <c r="C44" s="44">
        <v>5807</v>
      </c>
      <c r="D44" s="44">
        <v>5884</v>
      </c>
      <c r="E44" s="44">
        <v>1769</v>
      </c>
      <c r="F44" s="27">
        <v>162</v>
      </c>
    </row>
    <row r="45" spans="1:6" ht="18" customHeight="1" x14ac:dyDescent="0.35">
      <c r="A45" s="65" t="s">
        <v>16</v>
      </c>
      <c r="B45" s="64">
        <f t="shared" ref="B45:B72" si="4">C45+D45</f>
        <v>134773</v>
      </c>
      <c r="C45" s="64">
        <f>C46+C47+C48+C49</f>
        <v>71246</v>
      </c>
      <c r="D45" s="64">
        <f>D46+D47+D48+D49</f>
        <v>63527</v>
      </c>
      <c r="E45" s="64">
        <f>E46+E47+E48+E49</f>
        <v>11579</v>
      </c>
      <c r="F45" s="63">
        <f>F46+F47+F48+F49</f>
        <v>552</v>
      </c>
    </row>
    <row r="46" spans="1:6" ht="18" customHeight="1" x14ac:dyDescent="0.35">
      <c r="A46" s="61" t="s">
        <v>9</v>
      </c>
      <c r="B46" s="59">
        <f t="shared" si="4"/>
        <v>77117</v>
      </c>
      <c r="C46" s="49">
        <v>41352</v>
      </c>
      <c r="D46" s="49">
        <v>35765</v>
      </c>
      <c r="E46" s="49">
        <v>5390</v>
      </c>
      <c r="F46" s="9">
        <v>446</v>
      </c>
    </row>
    <row r="47" spans="1:6" ht="18" customHeight="1" x14ac:dyDescent="0.35">
      <c r="A47" s="62" t="s">
        <v>8</v>
      </c>
      <c r="B47" s="47">
        <f t="shared" si="4"/>
        <v>53319</v>
      </c>
      <c r="C47" s="50">
        <v>27889</v>
      </c>
      <c r="D47" s="50">
        <v>25430</v>
      </c>
      <c r="E47" s="50">
        <v>5688</v>
      </c>
      <c r="F47" s="46">
        <v>92</v>
      </c>
    </row>
    <row r="48" spans="1:6" ht="18" customHeight="1" x14ac:dyDescent="0.35">
      <c r="A48" s="61" t="s">
        <v>15</v>
      </c>
      <c r="B48" s="11">
        <f t="shared" si="4"/>
        <v>3684</v>
      </c>
      <c r="C48" s="11">
        <v>1592</v>
      </c>
      <c r="D48" s="11">
        <v>2092</v>
      </c>
      <c r="E48" s="11">
        <v>368</v>
      </c>
      <c r="F48" s="9">
        <v>6</v>
      </c>
    </row>
    <row r="49" spans="1:6" ht="18" customHeight="1" x14ac:dyDescent="0.35">
      <c r="A49" s="48" t="s">
        <v>7</v>
      </c>
      <c r="B49" s="47">
        <f t="shared" si="4"/>
        <v>653</v>
      </c>
      <c r="C49" s="50">
        <v>413</v>
      </c>
      <c r="D49" s="60">
        <v>240</v>
      </c>
      <c r="E49" s="47">
        <v>133</v>
      </c>
      <c r="F49" s="46">
        <v>8</v>
      </c>
    </row>
    <row r="50" spans="1:6" ht="18" customHeight="1" x14ac:dyDescent="0.35">
      <c r="A50" s="34" t="s">
        <v>3</v>
      </c>
      <c r="B50" s="59">
        <f t="shared" si="4"/>
        <v>118409</v>
      </c>
      <c r="C50" s="59">
        <v>62232</v>
      </c>
      <c r="D50" s="59">
        <v>56177</v>
      </c>
      <c r="E50" s="59">
        <v>9126</v>
      </c>
      <c r="F50" s="9">
        <v>402</v>
      </c>
    </row>
    <row r="51" spans="1:6" ht="18" customHeight="1" x14ac:dyDescent="0.35">
      <c r="A51" s="58" t="s">
        <v>2</v>
      </c>
      <c r="B51" s="57">
        <f t="shared" si="4"/>
        <v>16364</v>
      </c>
      <c r="C51" s="57">
        <v>9014</v>
      </c>
      <c r="D51" s="57">
        <v>7350</v>
      </c>
      <c r="E51" s="57">
        <v>2453</v>
      </c>
      <c r="F51" s="56">
        <v>150</v>
      </c>
    </row>
    <row r="52" spans="1:6" ht="18" customHeight="1" x14ac:dyDescent="0.35">
      <c r="A52" s="55" t="s">
        <v>14</v>
      </c>
      <c r="B52" s="54">
        <f t="shared" si="4"/>
        <v>106265</v>
      </c>
      <c r="C52" s="54">
        <f>C54+C55+C56</f>
        <v>57756</v>
      </c>
      <c r="D52" s="54">
        <f>D54+D55+D56</f>
        <v>48509</v>
      </c>
      <c r="E52" s="54">
        <f>E54+E55+E56</f>
        <v>10416</v>
      </c>
      <c r="F52" s="53">
        <f>F57+F58</f>
        <v>139</v>
      </c>
    </row>
    <row r="53" spans="1:6" ht="18" customHeight="1" x14ac:dyDescent="0.35">
      <c r="A53" s="48" t="s">
        <v>5</v>
      </c>
      <c r="B53" s="47">
        <f t="shared" si="4"/>
        <v>101916</v>
      </c>
      <c r="C53" s="50">
        <f>C54+C55</f>
        <v>55074</v>
      </c>
      <c r="D53" s="47">
        <f>D54+D55</f>
        <v>46842</v>
      </c>
      <c r="E53" s="47">
        <f>E54+E55</f>
        <v>9017</v>
      </c>
      <c r="F53" s="46">
        <f>F54+F55</f>
        <v>131</v>
      </c>
    </row>
    <row r="54" spans="1:6" ht="18" customHeight="1" x14ac:dyDescent="0.35">
      <c r="A54" s="52" t="s">
        <v>13</v>
      </c>
      <c r="B54" s="11">
        <f t="shared" si="4"/>
        <v>4259</v>
      </c>
      <c r="C54" s="49">
        <v>3016</v>
      </c>
      <c r="D54" s="11">
        <v>1243</v>
      </c>
      <c r="E54" s="11">
        <v>307</v>
      </c>
      <c r="F54" s="9">
        <v>8</v>
      </c>
    </row>
    <row r="55" spans="1:6" ht="18" customHeight="1" x14ac:dyDescent="0.35">
      <c r="A55" s="51" t="s">
        <v>12</v>
      </c>
      <c r="B55" s="47">
        <f t="shared" si="4"/>
        <v>97657</v>
      </c>
      <c r="C55" s="50">
        <v>52058</v>
      </c>
      <c r="D55" s="47">
        <v>45599</v>
      </c>
      <c r="E55" s="47">
        <v>8710</v>
      </c>
      <c r="F55" s="46">
        <v>123</v>
      </c>
    </row>
    <row r="56" spans="1:6" ht="18" customHeight="1" x14ac:dyDescent="0.35">
      <c r="A56" s="34" t="s">
        <v>4</v>
      </c>
      <c r="B56" s="11">
        <f t="shared" si="4"/>
        <v>4349</v>
      </c>
      <c r="C56" s="49">
        <v>2682</v>
      </c>
      <c r="D56" s="11">
        <v>1667</v>
      </c>
      <c r="E56" s="11">
        <v>1399</v>
      </c>
      <c r="F56" s="9">
        <v>63</v>
      </c>
    </row>
    <row r="57" spans="1:6" ht="18" customHeight="1" x14ac:dyDescent="0.35">
      <c r="A57" s="48" t="s">
        <v>3</v>
      </c>
      <c r="B57" s="47">
        <f t="shared" si="4"/>
        <v>87334</v>
      </c>
      <c r="C57" s="47">
        <v>46329</v>
      </c>
      <c r="D57" s="47">
        <v>41005</v>
      </c>
      <c r="E57" s="47">
        <v>7272</v>
      </c>
      <c r="F57" s="46">
        <v>56</v>
      </c>
    </row>
    <row r="58" spans="1:6" ht="18" customHeight="1" x14ac:dyDescent="0.35">
      <c r="A58" s="30" t="s">
        <v>2</v>
      </c>
      <c r="B58" s="45">
        <f t="shared" si="4"/>
        <v>18931</v>
      </c>
      <c r="C58" s="44">
        <v>11427</v>
      </c>
      <c r="D58" s="44">
        <v>7504</v>
      </c>
      <c r="E58" s="44">
        <v>3144</v>
      </c>
      <c r="F58" s="27">
        <v>83</v>
      </c>
    </row>
    <row r="59" spans="1:6" ht="18" customHeight="1" x14ac:dyDescent="0.35">
      <c r="A59" s="43" t="s">
        <v>11</v>
      </c>
      <c r="B59" s="42">
        <f t="shared" si="4"/>
        <v>10455</v>
      </c>
      <c r="C59" s="42">
        <f>C60+C61</f>
        <v>6074</v>
      </c>
      <c r="D59" s="42">
        <f>D60+D61</f>
        <v>4381</v>
      </c>
      <c r="E59" s="42">
        <f>E60+E61</f>
        <v>1125</v>
      </c>
      <c r="F59" s="41">
        <f>F60+F61</f>
        <v>62</v>
      </c>
    </row>
    <row r="60" spans="1:6" ht="18" customHeight="1" x14ac:dyDescent="0.35">
      <c r="A60" s="40" t="s">
        <v>3</v>
      </c>
      <c r="B60" s="39">
        <f t="shared" si="4"/>
        <v>4750</v>
      </c>
      <c r="C60" s="39">
        <f t="shared" ref="C60:F61" si="5">C66+C71</f>
        <v>2639</v>
      </c>
      <c r="D60" s="39">
        <f t="shared" si="5"/>
        <v>2111</v>
      </c>
      <c r="E60" s="39">
        <f t="shared" si="5"/>
        <v>334</v>
      </c>
      <c r="F60" s="39">
        <f t="shared" si="5"/>
        <v>28</v>
      </c>
    </row>
    <row r="61" spans="1:6" ht="18" customHeight="1" x14ac:dyDescent="0.35">
      <c r="A61" s="38" t="s">
        <v>2</v>
      </c>
      <c r="B61" s="37">
        <f t="shared" si="4"/>
        <v>5705</v>
      </c>
      <c r="C61" s="37">
        <f t="shared" si="5"/>
        <v>3435</v>
      </c>
      <c r="D61" s="37">
        <f t="shared" si="5"/>
        <v>2270</v>
      </c>
      <c r="E61" s="37">
        <f t="shared" si="5"/>
        <v>791</v>
      </c>
      <c r="F61" s="37">
        <f t="shared" si="5"/>
        <v>34</v>
      </c>
    </row>
    <row r="62" spans="1:6" x14ac:dyDescent="0.35">
      <c r="A62" s="26" t="s">
        <v>10</v>
      </c>
      <c r="B62" s="25">
        <f t="shared" si="4"/>
        <v>2758</v>
      </c>
      <c r="C62" s="25">
        <f>C63+C64+C65</f>
        <v>1405</v>
      </c>
      <c r="D62" s="25">
        <f>D63+D64+D65</f>
        <v>1353</v>
      </c>
      <c r="E62" s="25">
        <f>E63+E64+E65</f>
        <v>38</v>
      </c>
      <c r="F62" s="24">
        <f>F66+F67</f>
        <v>11</v>
      </c>
    </row>
    <row r="63" spans="1:6" x14ac:dyDescent="0.35">
      <c r="A63" s="36" t="s">
        <v>9</v>
      </c>
      <c r="B63" s="21">
        <f t="shared" si="4"/>
        <v>2758</v>
      </c>
      <c r="C63" s="22">
        <v>1405</v>
      </c>
      <c r="D63" s="21">
        <v>1353</v>
      </c>
      <c r="E63" s="20">
        <v>38</v>
      </c>
      <c r="F63" s="19">
        <v>11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2758</v>
      </c>
      <c r="C66" s="15">
        <v>1405</v>
      </c>
      <c r="D66" s="15">
        <v>1353</v>
      </c>
      <c r="E66" s="31">
        <v>38</v>
      </c>
      <c r="F66" s="13">
        <v>11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7697</v>
      </c>
      <c r="C68" s="25">
        <f>C69+C70</f>
        <v>4669</v>
      </c>
      <c r="D68" s="25">
        <f>D69+D70</f>
        <v>3028</v>
      </c>
      <c r="E68" s="25">
        <f>E71+E72</f>
        <v>1087</v>
      </c>
      <c r="F68" s="24">
        <f>F71+F72</f>
        <v>51</v>
      </c>
    </row>
    <row r="69" spans="1:15" x14ac:dyDescent="0.35">
      <c r="A69" s="23" t="s">
        <v>5</v>
      </c>
      <c r="B69" s="21">
        <f t="shared" si="4"/>
        <v>6839</v>
      </c>
      <c r="C69" s="22">
        <v>4133</v>
      </c>
      <c r="D69" s="21">
        <v>2706</v>
      </c>
      <c r="E69" s="20">
        <v>913</v>
      </c>
      <c r="F69" s="19">
        <v>42</v>
      </c>
      <c r="G69" s="18"/>
    </row>
    <row r="70" spans="1:15" x14ac:dyDescent="0.35">
      <c r="A70" s="17" t="s">
        <v>4</v>
      </c>
      <c r="B70" s="15">
        <f t="shared" si="4"/>
        <v>858</v>
      </c>
      <c r="C70" s="16">
        <v>536</v>
      </c>
      <c r="D70" s="15">
        <v>322</v>
      </c>
      <c r="E70" s="14">
        <v>174</v>
      </c>
      <c r="F70" s="13">
        <v>19</v>
      </c>
    </row>
    <row r="71" spans="1:15" x14ac:dyDescent="0.35">
      <c r="A71" s="12" t="s">
        <v>3</v>
      </c>
      <c r="B71" s="11">
        <f t="shared" si="4"/>
        <v>1992</v>
      </c>
      <c r="C71" s="11">
        <v>1234</v>
      </c>
      <c r="D71" s="11">
        <v>758</v>
      </c>
      <c r="E71" s="10">
        <v>296</v>
      </c>
      <c r="F71" s="9">
        <v>17</v>
      </c>
    </row>
    <row r="72" spans="1:15" x14ac:dyDescent="0.35">
      <c r="A72" s="8" t="s">
        <v>2</v>
      </c>
      <c r="B72" s="6">
        <f t="shared" si="4"/>
        <v>5705</v>
      </c>
      <c r="C72" s="7">
        <v>3435</v>
      </c>
      <c r="D72" s="6">
        <v>2270</v>
      </c>
      <c r="E72" s="5">
        <v>791</v>
      </c>
      <c r="F72" s="4">
        <v>34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0A84-DAFE-450B-B6F8-B9DD0CBDCB9E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F11" sqref="F11:F12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93.742908088831257</v>
      </c>
      <c r="C14" s="103">
        <v>91.763585002412213</v>
      </c>
      <c r="D14" s="102">
        <v>90.548895792070439</v>
      </c>
      <c r="E14" s="101">
        <v>92.817355346772473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93.242667967513171</v>
      </c>
      <c r="C15" s="108">
        <v>91.306326671177544</v>
      </c>
      <c r="D15" s="107">
        <v>89.822984263753895</v>
      </c>
      <c r="E15" s="106">
        <v>92.354890692936848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39.488699932870894</v>
      </c>
      <c r="C17" s="103">
        <v>35.548796515339262</v>
      </c>
      <c r="D17" s="102">
        <v>38.580942141638275</v>
      </c>
      <c r="E17" s="101">
        <v>47.497212826666164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85.661573833716531</v>
      </c>
      <c r="C18" s="108">
        <v>82.446334397979655</v>
      </c>
      <c r="D18" s="107">
        <v>77.998743134706629</v>
      </c>
      <c r="E18" s="106">
        <v>93.05199783108651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65.850234585688426</v>
      </c>
      <c r="C19" s="103">
        <v>63.672979214780604</v>
      </c>
      <c r="D19" s="102">
        <v>73.121669901048492</v>
      </c>
      <c r="E19" s="101">
        <v>67.703495364802109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63.715073779514896</v>
      </c>
      <c r="C20" s="108">
        <v>60.652819727237208</v>
      </c>
      <c r="D20" s="107">
        <v>63.307350306076884</v>
      </c>
      <c r="E20" s="106">
        <v>69.488366875042857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63.933381983697998</v>
      </c>
      <c r="C21" s="103">
        <v>60.910201626157445</v>
      </c>
      <c r="D21" s="102">
        <v>63.672054942229941</v>
      </c>
      <c r="E21" s="101">
        <v>69.783168273635539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-5.7054032497516616E-2</v>
      </c>
      <c r="C23" s="103">
        <v>-7.1138723474883925E-2</v>
      </c>
      <c r="D23" s="102">
        <v>0.43876962396363073</v>
      </c>
      <c r="E23" s="103">
        <v>-8.4200741811546465E-2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4.5684422484881804E-2</v>
      </c>
      <c r="C24" s="108">
        <v>2.3180480846385354E-2</v>
      </c>
      <c r="D24" s="107">
        <v>0.47104009397397339</v>
      </c>
      <c r="E24" s="108">
        <v>9.0818547568982666E-4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101.36373836938321</v>
      </c>
      <c r="C25" s="103">
        <v>101.27650742034801</v>
      </c>
      <c r="D25" s="102">
        <v>96.9551648474215</v>
      </c>
      <c r="E25" s="103">
        <v>102.70414947073958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105.2915650552288</v>
      </c>
      <c r="C26" s="108">
        <v>104.9619962713323</v>
      </c>
      <c r="D26" s="107">
        <v>101.9341223948949</v>
      </c>
      <c r="E26" s="108">
        <v>106.72348824690472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103.73499614995545</v>
      </c>
      <c r="C27" s="103">
        <v>102.07218927750212</v>
      </c>
      <c r="D27" s="102">
        <v>101.72046958709984</v>
      </c>
      <c r="E27" s="103">
        <v>100.43891689375361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97.710204882762369</v>
      </c>
      <c r="C28" s="108">
        <v>96.291903666949054</v>
      </c>
      <c r="D28" s="107">
        <v>96.314695429046509</v>
      </c>
      <c r="E28" s="108">
        <v>94.751184439062385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97.739426759113996</v>
      </c>
      <c r="C30" s="103">
        <v>96.709753231492357</v>
      </c>
      <c r="D30" s="102">
        <v>93.105822485612947</v>
      </c>
      <c r="E30" s="101">
        <v>97.759256729061349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2.6025787232061837</v>
      </c>
      <c r="C31" s="108">
        <v>2.3470545145206634</v>
      </c>
      <c r="D31" s="107">
        <v>2.54778221710249</v>
      </c>
      <c r="E31" s="106">
        <v>2.2144745182934855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2.5344136200548761</v>
      </c>
      <c r="C32" s="103">
        <v>2.460074349442376</v>
      </c>
      <c r="D32" s="102">
        <v>2.2384648038226818</v>
      </c>
      <c r="E32" s="101">
        <v>2.3876734177977088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94.18969687612578</v>
      </c>
      <c r="C33" s="108">
        <v>94.409651712428115</v>
      </c>
      <c r="D33" s="107">
        <v>92.865387576774694</v>
      </c>
      <c r="E33" s="106">
        <v>93.475671850458255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98.86560069144339</v>
      </c>
      <c r="C34" s="103">
        <v>99.467826899911898</v>
      </c>
      <c r="D34" s="102">
        <v>91.876923795994145</v>
      </c>
      <c r="E34" s="101">
        <v>97.242023234517802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102.77957182155244</v>
      </c>
      <c r="C35" s="108">
        <v>101.12852252564417</v>
      </c>
      <c r="D35" s="107">
        <v>94.670888333927934</v>
      </c>
      <c r="E35" s="106">
        <v>99.873379919966553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90.474823585695503</v>
      </c>
      <c r="C36" s="103">
        <v>89.356401632145861</v>
      </c>
      <c r="D36" s="102">
        <v>83.855666307503625</v>
      </c>
      <c r="E36" s="101">
        <v>88.247625873499373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92.398734637480899</v>
      </c>
      <c r="C38" s="103">
        <v>90.498306196044155</v>
      </c>
      <c r="D38" s="102">
        <v>90.303209142071765</v>
      </c>
      <c r="E38" s="101">
        <v>91.553547220967019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14.636295796169286</v>
      </c>
      <c r="C39" s="108">
        <v>11.67221921304712</v>
      </c>
      <c r="D39" s="107">
        <v>9.2482325469735116</v>
      </c>
      <c r="E39" s="106">
        <v>11.497675824798758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12.8361858190709</v>
      </c>
      <c r="C40" s="103">
        <v>12.718027272655497</v>
      </c>
      <c r="D40" s="102">
        <v>12.053771184956375</v>
      </c>
      <c r="E40" s="101">
        <v>12.598937700386514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63.653049356691142</v>
      </c>
      <c r="C41" s="108">
        <v>67.91455506511906</v>
      </c>
      <c r="D41" s="107">
        <v>70.240267556253883</v>
      </c>
      <c r="E41" s="106">
        <v>68.181728744859612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65.439225796809026</v>
      </c>
      <c r="C42" s="103">
        <v>69.192760381967574</v>
      </c>
      <c r="D42" s="102">
        <v>63.600436314437992</v>
      </c>
      <c r="E42" s="101">
        <v>63.582818033358414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85.320227512521669</v>
      </c>
      <c r="C43" s="108">
        <v>81.322295099772518</v>
      </c>
      <c r="D43" s="107">
        <v>72.862042704061992</v>
      </c>
      <c r="E43" s="106">
        <v>79.624580978689337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86.932583043283159</v>
      </c>
      <c r="C44" s="103">
        <v>82.986477761620009</v>
      </c>
      <c r="D44" s="102">
        <v>78.400458538136903</v>
      </c>
      <c r="E44" s="101">
        <v>81.253723798003136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73.008355870332423</v>
      </c>
      <c r="C45" s="108">
        <v>69.425018252909908</v>
      </c>
      <c r="D45" s="107">
        <v>60.675903080458362</v>
      </c>
      <c r="E45" s="106">
        <v>67.608524262612775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68.981903577842246</v>
      </c>
      <c r="C47" s="103">
        <v>74.136299779236793</v>
      </c>
      <c r="D47" s="102">
        <v>68.075095204300098</v>
      </c>
      <c r="E47" s="101">
        <v>74.423975508888773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8.4774062029801538</v>
      </c>
      <c r="C48" s="108">
        <v>8.1750821924530204</v>
      </c>
      <c r="D48" s="107">
        <v>8.5439504278360232</v>
      </c>
      <c r="E48" s="106">
        <v>7.8635230678214318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34.550668477596183</v>
      </c>
      <c r="C49" s="103">
        <v>33.97674879619386</v>
      </c>
      <c r="D49" s="102">
        <v>30.621789759912865</v>
      </c>
      <c r="E49" s="101">
        <v>34.12406790417262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39.586989834127685</v>
      </c>
      <c r="C50" s="108">
        <v>38.853857708172896</v>
      </c>
      <c r="D50" s="107">
        <v>34.484611655840489</v>
      </c>
      <c r="E50" s="106">
        <v>39.000200398528392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42.193554829269416</v>
      </c>
      <c r="C51" s="103">
        <v>41.461117930966125</v>
      </c>
      <c r="D51" s="102">
        <v>42.545891307303194</v>
      </c>
      <c r="E51" s="101">
        <v>41.613321586702611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14.524635482152899</v>
      </c>
      <c r="C53" s="108">
        <v>14.195732421071943</v>
      </c>
      <c r="D53" s="107">
        <v>13.596245811879109</v>
      </c>
      <c r="E53" s="106">
        <v>14.082828440826701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9.3699999999999992</v>
      </c>
      <c r="C54" s="103">
        <v>9.5009086644094136</v>
      </c>
      <c r="D54" s="102">
        <v>9.8556313156987496</v>
      </c>
      <c r="E54" s="101">
        <v>9.631817328818828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6.4568118970471104</v>
      </c>
      <c r="C55" s="98">
        <v>6.2199812265145527</v>
      </c>
      <c r="D55" s="97">
        <v>4.4889089590471833</v>
      </c>
      <c r="E55" s="96">
        <v>6.0026986036295176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Hgo</vt:lpstr>
      <vt:lpstr>HGO</vt:lpstr>
      <vt:lpstr>'Est Hgo'!Área_de_impresión</vt:lpstr>
      <vt:lpstr>HGO!Área_de_impresión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2022-09-07T17:19:26Z</cp:lastPrinted>
  <dcterms:created xsi:type="dcterms:W3CDTF">2022-09-06T18:54:21Z</dcterms:created>
  <dcterms:modified xsi:type="dcterms:W3CDTF">2022-09-07T19:13:06Z</dcterms:modified>
</cp:coreProperties>
</file>