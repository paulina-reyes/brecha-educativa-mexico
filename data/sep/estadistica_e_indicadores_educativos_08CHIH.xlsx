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46ECD9EF-D4F6-40AE-948F-93B434206CDE}" xr6:coauthVersionLast="47" xr6:coauthVersionMax="47" xr10:uidLastSave="{00000000-0000-0000-0000-000000000000}"/>
  <bookViews>
    <workbookView xWindow="-120" yWindow="-120" windowWidth="29040" windowHeight="15840" xr2:uid="{370C658D-FD8B-4287-9087-3FDC28564CB8}"/>
  </bookViews>
  <sheets>
    <sheet name="Est Chih" sheetId="1" r:id="rId1"/>
    <sheet name="CHIH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1">CHIH!$A$1:$F$57</definedName>
    <definedName name="_xlnm.Print_Area" localSheetId="0">'Est Chih'!$A$1:$F$74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D16" i="1" s="1"/>
  <c r="D13" i="1" s="1"/>
  <c r="D18" i="1"/>
  <c r="D15" i="1" s="1"/>
  <c r="E18" i="1"/>
  <c r="E15" i="1" s="1"/>
  <c r="D19" i="1"/>
  <c r="E19" i="1"/>
  <c r="C20" i="1"/>
  <c r="B20" i="1" s="1"/>
  <c r="D20" i="1"/>
  <c r="E20" i="1"/>
  <c r="E17" i="1" s="1"/>
  <c r="F20" i="1"/>
  <c r="F19" i="1" s="1"/>
  <c r="B21" i="1"/>
  <c r="C21" i="1"/>
  <c r="C18" i="1" s="1"/>
  <c r="D21" i="1"/>
  <c r="E21" i="1"/>
  <c r="F21" i="1"/>
  <c r="F18" i="1" s="1"/>
  <c r="F15" i="1" s="1"/>
  <c r="B22" i="1"/>
  <c r="C22" i="1"/>
  <c r="D22" i="1"/>
  <c r="E22" i="1"/>
  <c r="F22" i="1"/>
  <c r="B23" i="1"/>
  <c r="B24" i="1"/>
  <c r="B25" i="1"/>
  <c r="B26" i="1"/>
  <c r="C27" i="1"/>
  <c r="D27" i="1"/>
  <c r="B27" i="1" s="1"/>
  <c r="E27" i="1"/>
  <c r="F27" i="1"/>
  <c r="B28" i="1"/>
  <c r="B29" i="1"/>
  <c r="B30" i="1"/>
  <c r="B31" i="1"/>
  <c r="B32" i="1"/>
  <c r="B33" i="1"/>
  <c r="C33" i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B45" i="1"/>
  <c r="C45" i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B53" i="1"/>
  <c r="C53" i="1"/>
  <c r="D53" i="1"/>
  <c r="E53" i="1"/>
  <c r="F53" i="1"/>
  <c r="B54" i="1"/>
  <c r="B55" i="1"/>
  <c r="B56" i="1"/>
  <c r="B57" i="1"/>
  <c r="B58" i="1"/>
  <c r="C60" i="1"/>
  <c r="C59" i="1" s="1"/>
  <c r="B59" i="1" s="1"/>
  <c r="D60" i="1"/>
  <c r="D59" i="1" s="1"/>
  <c r="E60" i="1"/>
  <c r="E59" i="1" s="1"/>
  <c r="F60" i="1"/>
  <c r="B61" i="1"/>
  <c r="C61" i="1"/>
  <c r="D61" i="1"/>
  <c r="E61" i="1"/>
  <c r="F61" i="1"/>
  <c r="F59" i="1" s="1"/>
  <c r="C62" i="1"/>
  <c r="B62" i="1" s="1"/>
  <c r="D62" i="1"/>
  <c r="E62" i="1"/>
  <c r="F62" i="1"/>
  <c r="B63" i="1"/>
  <c r="B64" i="1"/>
  <c r="B65" i="1"/>
  <c r="B66" i="1"/>
  <c r="B67" i="1"/>
  <c r="B68" i="1"/>
  <c r="C68" i="1"/>
  <c r="D68" i="1"/>
  <c r="E68" i="1"/>
  <c r="F68" i="1"/>
  <c r="B69" i="1"/>
  <c r="B70" i="1"/>
  <c r="B71" i="1"/>
  <c r="B72" i="1"/>
  <c r="E16" i="1" l="1"/>
  <c r="E13" i="1" s="1"/>
  <c r="E14" i="1"/>
  <c r="C16" i="1"/>
  <c r="C15" i="1"/>
  <c r="B15" i="1" s="1"/>
  <c r="B18" i="1"/>
  <c r="B60" i="1"/>
  <c r="C19" i="1"/>
  <c r="B19" i="1" s="1"/>
  <c r="D14" i="1"/>
  <c r="B17" i="1"/>
  <c r="C14" i="1"/>
  <c r="B14" i="1" s="1"/>
  <c r="F17" i="1"/>
  <c r="F14" i="1" l="1"/>
  <c r="F16" i="1"/>
  <c r="F13" i="1" s="1"/>
  <c r="C13" i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<sst xmlns="http://schemas.openxmlformats.org/spreadsheetml/2006/main" count="133" uniqueCount="78">
  <si>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</si>
  <si>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</si>
  <si>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</si>
  <si>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</si>
  <si>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</si>
  <si>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</si>
  <si>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</si>
  <si>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</si>
  <si>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</si>
  <si>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</si>
  <si>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</si>
  <si>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</si>
  <si>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</si>
  <si>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</si>
  <si>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</si>
  <si>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</si>
  <si>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</si>
  <si>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</si>
  <si>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</si>
  <si>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</si>
  <si>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</si>
  <si>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</si>
  <si>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</si>
  <si>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</si>
  <si>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</si>
  <si>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</si>
  <si>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</si>
  <si>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</si>
  <si>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</si>
  <si>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</si>
  <si>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</si>
  <si>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</si>
  <si>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</si>
  <si>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</si>
  <si>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</si>
  <si>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</si>
  <si>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</si>
  <si>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</si>
  <si>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Chihuahua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</si>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</sst>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applyNumberFormat="1" applyFont="1" applyBorder="1"/>
    <xf numFmtId="0" fontId="7" fillId="0" borderId="16" xfId="1" applyFont="1" applyBorder="1" applyAlignment="1">
      <alignment horizontal="left" vertical="center" indent="2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0" borderId="3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167" fontId="14" fillId="0" borderId="0" xfId="0" applyNumberFormat="1" applyFont="1"/>
    <xf numFmtId="167" fontId="14" fillId="0" borderId="0" xfId="0" quotePrefix="1" applyNumberFormat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167" fontId="2" fillId="0" borderId="0" xfId="0" applyNumberFormat="1" applyFont="1"/>
    <xf numFmtId="2" fontId="14" fillId="0" borderId="0" xfId="0" applyNumberFormat="1" applyFont="1"/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9195DBE2-3B79-46BE-8828-02A2A0F936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FD61383D-514F-4350-BBAB-2DFF49FC9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B0C33784-445E-43DA-A89F-29E4A6B5F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E3E8-DB79-4FE3-B619-CDC2D8125365}">
  <sheetPr codeName="Hoja1">
    <tabColor rgb="FFD4C19C"/>
    <pageSetUpPr fitToPage="1"/>
  </sheetPr>
  <dimension ref="A1:P124"/>
  <sheetViews>
    <sheetView showGridLines="0" showZeros="0" tabSelected="1" workbookViewId="0">
      <selection activeCell="A9" sqref="A9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5" t="s">
        <v>41</v>
      </c>
    </row>
    <row r="3" spans="1:16" x14ac:dyDescent="0.35">
      <c r="F3" s="85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3" customFormat="1" ht="15.75" customHeight="1" x14ac:dyDescent="0.35">
      <c r="A7" s="146" t="s">
        <v>39</v>
      </c>
      <c r="B7" s="146"/>
      <c r="C7" s="146"/>
      <c r="D7" s="146"/>
      <c r="E7" s="146"/>
      <c r="F7" s="146"/>
      <c r="H7"/>
      <c r="I7"/>
      <c r="J7"/>
      <c r="K7"/>
      <c r="L7"/>
      <c r="M7"/>
      <c r="N7"/>
      <c r="O7"/>
      <c r="P7" s="2"/>
    </row>
    <row r="8" spans="1:16" s="83" customFormat="1" ht="15.75" customHeight="1" x14ac:dyDescent="0.35">
      <c r="A8" s="146" t="s">
        <v>38</v>
      </c>
      <c r="B8" s="146"/>
      <c r="C8" s="146"/>
      <c r="D8" s="146"/>
      <c r="E8" s="146"/>
      <c r="F8" s="146"/>
      <c r="H8"/>
      <c r="I8"/>
      <c r="J8"/>
      <c r="K8"/>
      <c r="L8"/>
      <c r="M8"/>
      <c r="N8"/>
      <c r="O8"/>
      <c r="P8" s="2"/>
    </row>
    <row r="9" spans="1:16" s="83" customFormat="1" ht="15.75" customHeight="1" x14ac:dyDescent="0.35">
      <c r="A9" s="84" t="s">
        <v>77</v>
      </c>
      <c r="B9" s="84"/>
      <c r="C9" s="84"/>
      <c r="D9" s="84"/>
      <c r="E9" s="84"/>
      <c r="F9" s="84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7" t="s">
        <v>37</v>
      </c>
      <c r="B11" s="149" t="s">
        <v>36</v>
      </c>
      <c r="C11" s="149"/>
      <c r="D11" s="149"/>
      <c r="E11" s="150" t="s">
        <v>35</v>
      </c>
      <c r="F11" s="150" t="s">
        <v>34</v>
      </c>
    </row>
    <row r="12" spans="1:16" ht="15" customHeight="1" x14ac:dyDescent="0.35">
      <c r="A12" s="148"/>
      <c r="B12" s="82" t="s">
        <v>33</v>
      </c>
      <c r="C12" s="82" t="s">
        <v>32</v>
      </c>
      <c r="D12" s="82" t="s">
        <v>31</v>
      </c>
      <c r="E12" s="148"/>
      <c r="F12" s="148"/>
    </row>
    <row r="13" spans="1:16" ht="18" customHeight="1" x14ac:dyDescent="0.35">
      <c r="A13" s="81" t="s">
        <v>30</v>
      </c>
      <c r="B13" s="80">
        <f t="shared" ref="B13:B44" si="0">C13+D13</f>
        <v>1023846</v>
      </c>
      <c r="C13" s="80">
        <f>C16+C62+C68</f>
        <v>518866</v>
      </c>
      <c r="D13" s="80">
        <f>D16+D62+D68</f>
        <v>504980</v>
      </c>
      <c r="E13" s="80">
        <f>E16+E62+E68</f>
        <v>58040</v>
      </c>
      <c r="F13" s="80">
        <f>F16+F62+F68</f>
        <v>6897</v>
      </c>
    </row>
    <row r="14" spans="1:16" ht="18" customHeight="1" x14ac:dyDescent="0.35">
      <c r="A14" s="40" t="s">
        <v>3</v>
      </c>
      <c r="B14" s="39">
        <f t="shared" si="0"/>
        <v>890689</v>
      </c>
      <c r="C14" s="39">
        <f t="shared" ref="C14:F15" si="1">C17+C66+C71</f>
        <v>448253</v>
      </c>
      <c r="D14" s="39">
        <f t="shared" si="1"/>
        <v>442436</v>
      </c>
      <c r="E14" s="39">
        <f t="shared" si="1"/>
        <v>47570</v>
      </c>
      <c r="F14" s="39">
        <f t="shared" si="1"/>
        <v>5751</v>
      </c>
    </row>
    <row r="15" spans="1:16" ht="18" customHeight="1" x14ac:dyDescent="0.35">
      <c r="A15" s="38" t="s">
        <v>2</v>
      </c>
      <c r="B15" s="37">
        <f t="shared" si="0"/>
        <v>133157</v>
      </c>
      <c r="C15" s="37">
        <f t="shared" si="1"/>
        <v>70613</v>
      </c>
      <c r="D15" s="37">
        <f t="shared" si="1"/>
        <v>62544</v>
      </c>
      <c r="E15" s="37">
        <f t="shared" si="1"/>
        <v>10470</v>
      </c>
      <c r="F15" s="37">
        <f t="shared" si="1"/>
        <v>1146</v>
      </c>
    </row>
    <row r="16" spans="1:16" ht="18" customHeight="1" x14ac:dyDescent="0.35">
      <c r="A16" s="43" t="s">
        <v>29</v>
      </c>
      <c r="B16" s="42">
        <f t="shared" si="0"/>
        <v>1001254</v>
      </c>
      <c r="C16" s="42">
        <f>C17+C18</f>
        <v>506458</v>
      </c>
      <c r="D16" s="42">
        <f>D17+D18</f>
        <v>494796</v>
      </c>
      <c r="E16" s="42">
        <f>E17+E18</f>
        <v>56387</v>
      </c>
      <c r="F16" s="41">
        <f>F17+F18</f>
        <v>6812</v>
      </c>
    </row>
    <row r="17" spans="1:6" ht="18" customHeight="1" x14ac:dyDescent="0.35">
      <c r="A17" s="40" t="s">
        <v>3</v>
      </c>
      <c r="B17" s="39">
        <f t="shared" si="0"/>
        <v>875864</v>
      </c>
      <c r="C17" s="39">
        <f t="shared" ref="C17:F18" si="2">C20+C50+C57</f>
        <v>440192</v>
      </c>
      <c r="D17" s="39">
        <f t="shared" si="2"/>
        <v>435672</v>
      </c>
      <c r="E17" s="39">
        <f t="shared" si="2"/>
        <v>46938</v>
      </c>
      <c r="F17" s="39">
        <f t="shared" si="2"/>
        <v>5705</v>
      </c>
    </row>
    <row r="18" spans="1:6" ht="18" customHeight="1" x14ac:dyDescent="0.35">
      <c r="A18" s="38" t="s">
        <v>2</v>
      </c>
      <c r="B18" s="37">
        <f t="shared" si="0"/>
        <v>125390</v>
      </c>
      <c r="C18" s="37">
        <f t="shared" si="2"/>
        <v>66266</v>
      </c>
      <c r="D18" s="37">
        <f t="shared" si="2"/>
        <v>59124</v>
      </c>
      <c r="E18" s="37">
        <f t="shared" si="2"/>
        <v>9449</v>
      </c>
      <c r="F18" s="37">
        <f t="shared" si="2"/>
        <v>1107</v>
      </c>
    </row>
    <row r="19" spans="1:6" ht="18" customHeight="1" x14ac:dyDescent="0.35">
      <c r="A19" s="79" t="s">
        <v>28</v>
      </c>
      <c r="B19" s="78">
        <f t="shared" si="0"/>
        <v>725722</v>
      </c>
      <c r="C19" s="78">
        <f>C20+C21</f>
        <v>358455</v>
      </c>
      <c r="D19" s="78">
        <f>D20+D21</f>
        <v>367267</v>
      </c>
      <c r="E19" s="78">
        <f>E20+E21</f>
        <v>32789</v>
      </c>
      <c r="F19" s="77">
        <f>F20+F21</f>
        <v>6039</v>
      </c>
    </row>
    <row r="20" spans="1:6" ht="18" customHeight="1" x14ac:dyDescent="0.35">
      <c r="A20" s="40" t="s">
        <v>3</v>
      </c>
      <c r="B20" s="39">
        <f t="shared" si="0"/>
        <v>648805</v>
      </c>
      <c r="C20" s="39">
        <f t="shared" ref="C20:F21" si="3">C25+C31+C37+C43</f>
        <v>320306</v>
      </c>
      <c r="D20" s="39">
        <f t="shared" si="3"/>
        <v>328499</v>
      </c>
      <c r="E20" s="39">
        <f t="shared" si="3"/>
        <v>28930</v>
      </c>
      <c r="F20" s="76">
        <f t="shared" si="3"/>
        <v>5229</v>
      </c>
    </row>
    <row r="21" spans="1:6" ht="18" customHeight="1" x14ac:dyDescent="0.35">
      <c r="A21" s="75" t="s">
        <v>2</v>
      </c>
      <c r="B21" s="74">
        <f t="shared" si="0"/>
        <v>76917</v>
      </c>
      <c r="C21" s="74">
        <f t="shared" si="3"/>
        <v>38149</v>
      </c>
      <c r="D21" s="74">
        <f t="shared" si="3"/>
        <v>38768</v>
      </c>
      <c r="E21" s="74">
        <f t="shared" si="3"/>
        <v>3859</v>
      </c>
      <c r="F21" s="73">
        <f t="shared" si="3"/>
        <v>810</v>
      </c>
    </row>
    <row r="22" spans="1:6" ht="18" customHeight="1" x14ac:dyDescent="0.35">
      <c r="A22" s="68" t="s">
        <v>27</v>
      </c>
      <c r="B22" s="67">
        <f t="shared" si="0"/>
        <v>9529</v>
      </c>
      <c r="C22" s="67">
        <f>C23+C24</f>
        <v>4700</v>
      </c>
      <c r="D22" s="67">
        <f>D23+D24</f>
        <v>4829</v>
      </c>
      <c r="E22" s="67">
        <f>E23+E24</f>
        <v>227</v>
      </c>
      <c r="F22" s="66">
        <f>F23+F24</f>
        <v>123</v>
      </c>
    </row>
    <row r="23" spans="1:6" ht="18" customHeight="1" x14ac:dyDescent="0.35">
      <c r="A23" s="71" t="s">
        <v>23</v>
      </c>
      <c r="B23" s="34">
        <f t="shared" si="0"/>
        <v>8927</v>
      </c>
      <c r="C23" s="34">
        <v>4382</v>
      </c>
      <c r="D23" s="34">
        <v>4545</v>
      </c>
      <c r="E23" s="34">
        <v>200</v>
      </c>
      <c r="F23" s="9">
        <v>98</v>
      </c>
    </row>
    <row r="24" spans="1:6" ht="18" customHeight="1" x14ac:dyDescent="0.35">
      <c r="A24" s="72" t="s">
        <v>22</v>
      </c>
      <c r="B24" s="49">
        <f t="shared" si="0"/>
        <v>602</v>
      </c>
      <c r="C24" s="49">
        <v>318</v>
      </c>
      <c r="D24" s="49">
        <v>284</v>
      </c>
      <c r="E24" s="49">
        <v>27</v>
      </c>
      <c r="F24" s="46">
        <v>25</v>
      </c>
    </row>
    <row r="25" spans="1:6" ht="18" customHeight="1" x14ac:dyDescent="0.35">
      <c r="A25" s="35" t="s">
        <v>3</v>
      </c>
      <c r="B25" s="11">
        <f t="shared" si="0"/>
        <v>1657</v>
      </c>
      <c r="C25" s="11">
        <v>864</v>
      </c>
      <c r="D25" s="11">
        <v>793</v>
      </c>
      <c r="E25" s="11">
        <v>83</v>
      </c>
      <c r="F25" s="9">
        <v>48</v>
      </c>
    </row>
    <row r="26" spans="1:6" ht="18" customHeight="1" x14ac:dyDescent="0.35">
      <c r="A26" s="57" t="s">
        <v>2</v>
      </c>
      <c r="B26" s="56">
        <f t="shared" si="0"/>
        <v>7872</v>
      </c>
      <c r="C26" s="56">
        <v>3836</v>
      </c>
      <c r="D26" s="56">
        <v>4036</v>
      </c>
      <c r="E26" s="56">
        <v>144</v>
      </c>
      <c r="F26" s="55">
        <v>75</v>
      </c>
    </row>
    <row r="27" spans="1:6" ht="18" customHeight="1" x14ac:dyDescent="0.35">
      <c r="A27" s="68" t="s">
        <v>26</v>
      </c>
      <c r="B27" s="67">
        <f t="shared" si="0"/>
        <v>111674</v>
      </c>
      <c r="C27" s="67">
        <f>C28+C29+C30</f>
        <v>55744</v>
      </c>
      <c r="D27" s="67">
        <f>D28+D29+D30</f>
        <v>55930</v>
      </c>
      <c r="E27" s="67">
        <f>E28+E29+E30</f>
        <v>5397</v>
      </c>
      <c r="F27" s="66">
        <f>F28+F29+F30</f>
        <v>2135</v>
      </c>
    </row>
    <row r="28" spans="1:6" ht="18" customHeight="1" x14ac:dyDescent="0.35">
      <c r="A28" s="71" t="s">
        <v>25</v>
      </c>
      <c r="B28" s="34">
        <f t="shared" si="0"/>
        <v>102883</v>
      </c>
      <c r="C28" s="34">
        <v>51278</v>
      </c>
      <c r="D28" s="34">
        <v>51605</v>
      </c>
      <c r="E28" s="34">
        <v>4679</v>
      </c>
      <c r="F28" s="9">
        <v>1460</v>
      </c>
    </row>
    <row r="29" spans="1:6" ht="18" customHeight="1" x14ac:dyDescent="0.35">
      <c r="A29" s="72" t="s">
        <v>22</v>
      </c>
      <c r="B29" s="49">
        <f t="shared" si="0"/>
        <v>4739</v>
      </c>
      <c r="C29" s="49">
        <v>2405</v>
      </c>
      <c r="D29" s="49">
        <v>2334</v>
      </c>
      <c r="E29" s="49">
        <v>229</v>
      </c>
      <c r="F29" s="46">
        <v>175</v>
      </c>
    </row>
    <row r="30" spans="1:6" ht="18" customHeight="1" x14ac:dyDescent="0.35">
      <c r="A30" s="71" t="s">
        <v>21</v>
      </c>
      <c r="B30" s="34">
        <f t="shared" si="0"/>
        <v>4052</v>
      </c>
      <c r="C30" s="34">
        <v>2061</v>
      </c>
      <c r="D30" s="34">
        <v>1991</v>
      </c>
      <c r="E30" s="34">
        <v>489</v>
      </c>
      <c r="F30" s="9">
        <v>500</v>
      </c>
    </row>
    <row r="31" spans="1:6" ht="18" customHeight="1" x14ac:dyDescent="0.35">
      <c r="A31" s="70" t="s">
        <v>3</v>
      </c>
      <c r="B31" s="65">
        <f t="shared" si="0"/>
        <v>99323</v>
      </c>
      <c r="C31" s="65">
        <v>49587</v>
      </c>
      <c r="D31" s="65">
        <v>49736</v>
      </c>
      <c r="E31" s="65">
        <v>4764</v>
      </c>
      <c r="F31" s="69">
        <v>1798</v>
      </c>
    </row>
    <row r="32" spans="1:6" ht="18" customHeight="1" x14ac:dyDescent="0.35">
      <c r="A32" s="30" t="s">
        <v>2</v>
      </c>
      <c r="B32" s="44">
        <f t="shared" si="0"/>
        <v>12351</v>
      </c>
      <c r="C32" s="44">
        <v>6157</v>
      </c>
      <c r="D32" s="44">
        <v>6194</v>
      </c>
      <c r="E32" s="44">
        <v>633</v>
      </c>
      <c r="F32" s="27">
        <v>337</v>
      </c>
    </row>
    <row r="33" spans="1:6" ht="18" customHeight="1" x14ac:dyDescent="0.35">
      <c r="A33" s="68" t="s">
        <v>24</v>
      </c>
      <c r="B33" s="67">
        <f t="shared" si="0"/>
        <v>411264</v>
      </c>
      <c r="C33" s="67">
        <f>C34+C35+C36</f>
        <v>201793</v>
      </c>
      <c r="D33" s="67">
        <f>D34+D35+D36</f>
        <v>209471</v>
      </c>
      <c r="E33" s="67">
        <f>E34+E35+E36</f>
        <v>16617</v>
      </c>
      <c r="F33" s="66">
        <f>F34+F35+F36</f>
        <v>2746</v>
      </c>
    </row>
    <row r="34" spans="1:6" ht="18" customHeight="1" x14ac:dyDescent="0.35">
      <c r="A34" s="71" t="s">
        <v>23</v>
      </c>
      <c r="B34" s="34">
        <f t="shared" si="0"/>
        <v>387910</v>
      </c>
      <c r="C34" s="34">
        <v>190375</v>
      </c>
      <c r="D34" s="34">
        <v>197535</v>
      </c>
      <c r="E34" s="34">
        <v>15365</v>
      </c>
      <c r="F34" s="9">
        <v>2098</v>
      </c>
    </row>
    <row r="35" spans="1:6" ht="18" customHeight="1" x14ac:dyDescent="0.35">
      <c r="A35" s="72" t="s">
        <v>22</v>
      </c>
      <c r="B35" s="49">
        <f t="shared" si="0"/>
        <v>20415</v>
      </c>
      <c r="C35" s="49">
        <v>9936</v>
      </c>
      <c r="D35" s="49">
        <v>10479</v>
      </c>
      <c r="E35" s="49">
        <v>913</v>
      </c>
      <c r="F35" s="46">
        <v>344</v>
      </c>
    </row>
    <row r="36" spans="1:6" ht="18" customHeight="1" x14ac:dyDescent="0.35">
      <c r="A36" s="71" t="s">
        <v>21</v>
      </c>
      <c r="B36" s="34">
        <f t="shared" si="0"/>
        <v>2939</v>
      </c>
      <c r="C36" s="34">
        <v>1482</v>
      </c>
      <c r="D36" s="34">
        <v>1457</v>
      </c>
      <c r="E36" s="34">
        <v>339</v>
      </c>
      <c r="F36" s="9">
        <v>304</v>
      </c>
    </row>
    <row r="37" spans="1:6" ht="18" customHeight="1" x14ac:dyDescent="0.35">
      <c r="A37" s="70" t="s">
        <v>3</v>
      </c>
      <c r="B37" s="65">
        <f t="shared" si="0"/>
        <v>374039</v>
      </c>
      <c r="C37" s="65">
        <v>183331</v>
      </c>
      <c r="D37" s="65">
        <v>190708</v>
      </c>
      <c r="E37" s="65">
        <v>15262</v>
      </c>
      <c r="F37" s="69">
        <v>2498</v>
      </c>
    </row>
    <row r="38" spans="1:6" ht="18" customHeight="1" x14ac:dyDescent="0.35">
      <c r="A38" s="30" t="s">
        <v>2</v>
      </c>
      <c r="B38" s="44">
        <f t="shared" si="0"/>
        <v>37225</v>
      </c>
      <c r="C38" s="44">
        <v>18462</v>
      </c>
      <c r="D38" s="44">
        <v>18763</v>
      </c>
      <c r="E38" s="44">
        <v>1355</v>
      </c>
      <c r="F38" s="27">
        <v>248</v>
      </c>
    </row>
    <row r="39" spans="1:6" ht="18" customHeight="1" x14ac:dyDescent="0.35">
      <c r="A39" s="68" t="s">
        <v>20</v>
      </c>
      <c r="B39" s="67">
        <f t="shared" si="0"/>
        <v>193255</v>
      </c>
      <c r="C39" s="67">
        <f>C40+C41+C42</f>
        <v>96218</v>
      </c>
      <c r="D39" s="67">
        <f>D40+D41+D42</f>
        <v>97037</v>
      </c>
      <c r="E39" s="67">
        <f>E40+E41+E42</f>
        <v>10548</v>
      </c>
      <c r="F39" s="66">
        <f>F40+F41+F42</f>
        <v>1035</v>
      </c>
    </row>
    <row r="40" spans="1:6" ht="18" customHeight="1" x14ac:dyDescent="0.35">
      <c r="A40" s="60" t="s">
        <v>19</v>
      </c>
      <c r="B40" s="11">
        <f t="shared" si="0"/>
        <v>107596</v>
      </c>
      <c r="C40" s="34">
        <v>53693</v>
      </c>
      <c r="D40" s="34">
        <v>53903</v>
      </c>
      <c r="E40" s="11">
        <v>6264</v>
      </c>
      <c r="F40" s="9">
        <v>539</v>
      </c>
    </row>
    <row r="41" spans="1:6" ht="18" customHeight="1" x14ac:dyDescent="0.35">
      <c r="A41" s="61" t="s">
        <v>18</v>
      </c>
      <c r="B41" s="49">
        <f t="shared" si="0"/>
        <v>19109</v>
      </c>
      <c r="C41" s="49">
        <v>9230</v>
      </c>
      <c r="D41" s="49">
        <v>9879</v>
      </c>
      <c r="E41" s="49">
        <v>1039</v>
      </c>
      <c r="F41" s="46">
        <v>361</v>
      </c>
    </row>
    <row r="42" spans="1:6" ht="18" customHeight="1" x14ac:dyDescent="0.35">
      <c r="A42" s="60" t="s">
        <v>17</v>
      </c>
      <c r="B42" s="34">
        <f t="shared" si="0"/>
        <v>66550</v>
      </c>
      <c r="C42" s="34">
        <v>33295</v>
      </c>
      <c r="D42" s="34">
        <v>33255</v>
      </c>
      <c r="E42" s="34">
        <v>3245</v>
      </c>
      <c r="F42" s="9">
        <v>135</v>
      </c>
    </row>
    <row r="43" spans="1:6" ht="18" customHeight="1" x14ac:dyDescent="0.35">
      <c r="A43" s="61" t="s">
        <v>3</v>
      </c>
      <c r="B43" s="65">
        <f t="shared" si="0"/>
        <v>173786</v>
      </c>
      <c r="C43" s="47">
        <v>86524</v>
      </c>
      <c r="D43" s="47">
        <v>87262</v>
      </c>
      <c r="E43" s="47">
        <v>8821</v>
      </c>
      <c r="F43" s="46">
        <v>885</v>
      </c>
    </row>
    <row r="44" spans="1:6" ht="18" customHeight="1" x14ac:dyDescent="0.35">
      <c r="A44" s="30" t="s">
        <v>2</v>
      </c>
      <c r="B44" s="44">
        <f t="shared" si="0"/>
        <v>19469</v>
      </c>
      <c r="C44" s="44">
        <v>9694</v>
      </c>
      <c r="D44" s="44">
        <v>9775</v>
      </c>
      <c r="E44" s="44">
        <v>1727</v>
      </c>
      <c r="F44" s="27">
        <v>150</v>
      </c>
    </row>
    <row r="45" spans="1:6" ht="18" customHeight="1" x14ac:dyDescent="0.35">
      <c r="A45" s="64" t="s">
        <v>16</v>
      </c>
      <c r="B45" s="63">
        <f t="shared" ref="B45:B72" si="4">C45+D45</f>
        <v>142814</v>
      </c>
      <c r="C45" s="63">
        <f>C46+C47+C48+C49</f>
        <v>76526</v>
      </c>
      <c r="D45" s="63">
        <f>D46+D47+D48+D49</f>
        <v>66288</v>
      </c>
      <c r="E45" s="63">
        <f>E46+E47+E48+E49</f>
        <v>12080</v>
      </c>
      <c r="F45" s="62">
        <f>F46+F47+F48+F49</f>
        <v>612</v>
      </c>
    </row>
    <row r="46" spans="1:6" ht="18" customHeight="1" x14ac:dyDescent="0.35">
      <c r="A46" s="60" t="s">
        <v>9</v>
      </c>
      <c r="B46" s="58">
        <f t="shared" si="4"/>
        <v>82311</v>
      </c>
      <c r="C46" s="34">
        <v>45946</v>
      </c>
      <c r="D46" s="34">
        <v>36365</v>
      </c>
      <c r="E46" s="34">
        <v>5633</v>
      </c>
      <c r="F46" s="9">
        <v>485</v>
      </c>
    </row>
    <row r="47" spans="1:6" ht="18" customHeight="1" x14ac:dyDescent="0.35">
      <c r="A47" s="61" t="s">
        <v>8</v>
      </c>
      <c r="B47" s="47">
        <f t="shared" si="4"/>
        <v>49200</v>
      </c>
      <c r="C47" s="49">
        <v>24803</v>
      </c>
      <c r="D47" s="49">
        <v>24397</v>
      </c>
      <c r="E47" s="49">
        <v>4313</v>
      </c>
      <c r="F47" s="46">
        <v>89</v>
      </c>
    </row>
    <row r="48" spans="1:6" ht="18" customHeight="1" x14ac:dyDescent="0.35">
      <c r="A48" s="60" t="s">
        <v>15</v>
      </c>
      <c r="B48" s="11">
        <f t="shared" si="4"/>
        <v>8336</v>
      </c>
      <c r="C48" s="11">
        <v>3538</v>
      </c>
      <c r="D48" s="11">
        <v>4798</v>
      </c>
      <c r="E48" s="11">
        <v>1739</v>
      </c>
      <c r="F48" s="9">
        <v>15</v>
      </c>
    </row>
    <row r="49" spans="1:6" ht="18" customHeight="1" x14ac:dyDescent="0.35">
      <c r="A49" s="48" t="s">
        <v>7</v>
      </c>
      <c r="B49" s="47">
        <f t="shared" si="4"/>
        <v>2967</v>
      </c>
      <c r="C49" s="49">
        <v>2239</v>
      </c>
      <c r="D49" s="59">
        <v>728</v>
      </c>
      <c r="E49" s="47">
        <v>395</v>
      </c>
      <c r="F49" s="46">
        <v>23</v>
      </c>
    </row>
    <row r="50" spans="1:6" ht="18" customHeight="1" x14ac:dyDescent="0.35">
      <c r="A50" s="35" t="s">
        <v>3</v>
      </c>
      <c r="B50" s="58">
        <f t="shared" si="4"/>
        <v>116225</v>
      </c>
      <c r="C50" s="58">
        <v>61635</v>
      </c>
      <c r="D50" s="58">
        <v>54590</v>
      </c>
      <c r="E50" s="58">
        <v>9280</v>
      </c>
      <c r="F50" s="9">
        <v>401</v>
      </c>
    </row>
    <row r="51" spans="1:6" ht="18" customHeight="1" x14ac:dyDescent="0.35">
      <c r="A51" s="57" t="s">
        <v>2</v>
      </c>
      <c r="B51" s="56">
        <f t="shared" si="4"/>
        <v>26589</v>
      </c>
      <c r="C51" s="56">
        <v>14891</v>
      </c>
      <c r="D51" s="56">
        <v>11698</v>
      </c>
      <c r="E51" s="56">
        <v>2800</v>
      </c>
      <c r="F51" s="55">
        <v>211</v>
      </c>
    </row>
    <row r="52" spans="1:6" ht="18" customHeight="1" x14ac:dyDescent="0.35">
      <c r="A52" s="54" t="s">
        <v>14</v>
      </c>
      <c r="B52" s="53">
        <f t="shared" si="4"/>
        <v>132718</v>
      </c>
      <c r="C52" s="53">
        <f>C54+C55+C56</f>
        <v>71477</v>
      </c>
      <c r="D52" s="53">
        <f>D54+D55+D56</f>
        <v>61241</v>
      </c>
      <c r="E52" s="53">
        <f>E54+E55+E56</f>
        <v>11518</v>
      </c>
      <c r="F52" s="52">
        <f>F57+F58</f>
        <v>161</v>
      </c>
    </row>
    <row r="53" spans="1:6" ht="18" customHeight="1" x14ac:dyDescent="0.35">
      <c r="A53" s="48" t="s">
        <v>5</v>
      </c>
      <c r="B53" s="47">
        <f t="shared" si="4"/>
        <v>126455</v>
      </c>
      <c r="C53" s="49">
        <f>C54+C55</f>
        <v>67895</v>
      </c>
      <c r="D53" s="47">
        <f>D54+D55</f>
        <v>58560</v>
      </c>
      <c r="E53" s="47">
        <f>E54+E55</f>
        <v>9656</v>
      </c>
      <c r="F53" s="46">
        <f>F54+F55</f>
        <v>145</v>
      </c>
    </row>
    <row r="54" spans="1:6" ht="18" customHeight="1" x14ac:dyDescent="0.35">
      <c r="A54" s="51" t="s">
        <v>13</v>
      </c>
      <c r="B54" s="11">
        <f t="shared" si="4"/>
        <v>1574</v>
      </c>
      <c r="C54" s="34">
        <v>1369</v>
      </c>
      <c r="D54" s="11">
        <v>205</v>
      </c>
      <c r="E54" s="11">
        <v>216</v>
      </c>
      <c r="F54" s="9">
        <v>7</v>
      </c>
    </row>
    <row r="55" spans="1:6" ht="18" customHeight="1" x14ac:dyDescent="0.35">
      <c r="A55" s="50" t="s">
        <v>12</v>
      </c>
      <c r="B55" s="47">
        <f t="shared" si="4"/>
        <v>124881</v>
      </c>
      <c r="C55" s="49">
        <v>66526</v>
      </c>
      <c r="D55" s="47">
        <v>58355</v>
      </c>
      <c r="E55" s="47">
        <v>9440</v>
      </c>
      <c r="F55" s="46">
        <v>138</v>
      </c>
    </row>
    <row r="56" spans="1:6" ht="18" customHeight="1" x14ac:dyDescent="0.35">
      <c r="A56" s="35" t="s">
        <v>4</v>
      </c>
      <c r="B56" s="11">
        <f t="shared" si="4"/>
        <v>6263</v>
      </c>
      <c r="C56" s="34">
        <v>3582</v>
      </c>
      <c r="D56" s="11">
        <v>2681</v>
      </c>
      <c r="E56" s="11">
        <v>1862</v>
      </c>
      <c r="F56" s="9">
        <v>76</v>
      </c>
    </row>
    <row r="57" spans="1:6" ht="18" customHeight="1" x14ac:dyDescent="0.35">
      <c r="A57" s="48" t="s">
        <v>3</v>
      </c>
      <c r="B57" s="47">
        <f t="shared" si="4"/>
        <v>110834</v>
      </c>
      <c r="C57" s="47">
        <v>58251</v>
      </c>
      <c r="D57" s="47">
        <v>52583</v>
      </c>
      <c r="E57" s="47">
        <v>8728</v>
      </c>
      <c r="F57" s="46">
        <v>75</v>
      </c>
    </row>
    <row r="58" spans="1:6" ht="18" customHeight="1" x14ac:dyDescent="0.35">
      <c r="A58" s="30" t="s">
        <v>2</v>
      </c>
      <c r="B58" s="45">
        <f t="shared" si="4"/>
        <v>21884</v>
      </c>
      <c r="C58" s="44">
        <v>13226</v>
      </c>
      <c r="D58" s="44">
        <v>8658</v>
      </c>
      <c r="E58" s="44">
        <v>2790</v>
      </c>
      <c r="F58" s="27">
        <v>86</v>
      </c>
    </row>
    <row r="59" spans="1:6" ht="18" customHeight="1" x14ac:dyDescent="0.35">
      <c r="A59" s="43" t="s">
        <v>11</v>
      </c>
      <c r="B59" s="42">
        <f t="shared" si="4"/>
        <v>22592</v>
      </c>
      <c r="C59" s="42">
        <f>C60+C61</f>
        <v>12408</v>
      </c>
      <c r="D59" s="42">
        <f>D60+D61</f>
        <v>10184</v>
      </c>
      <c r="E59" s="42">
        <f>E60+E61</f>
        <v>1653</v>
      </c>
      <c r="F59" s="41">
        <f>F60+F61</f>
        <v>85</v>
      </c>
    </row>
    <row r="60" spans="1:6" ht="18" customHeight="1" x14ac:dyDescent="0.35">
      <c r="A60" s="40" t="s">
        <v>3</v>
      </c>
      <c r="B60" s="39">
        <f t="shared" si="4"/>
        <v>14825</v>
      </c>
      <c r="C60" s="39">
        <f t="shared" ref="C60:F61" si="5">C66+C71</f>
        <v>8061</v>
      </c>
      <c r="D60" s="39">
        <f t="shared" si="5"/>
        <v>6764</v>
      </c>
      <c r="E60" s="39">
        <f t="shared" si="5"/>
        <v>632</v>
      </c>
      <c r="F60" s="39">
        <f t="shared" si="5"/>
        <v>46</v>
      </c>
    </row>
    <row r="61" spans="1:6" ht="18" customHeight="1" x14ac:dyDescent="0.35">
      <c r="A61" s="38" t="s">
        <v>2</v>
      </c>
      <c r="B61" s="37">
        <f t="shared" si="4"/>
        <v>7767</v>
      </c>
      <c r="C61" s="37">
        <f t="shared" si="5"/>
        <v>4347</v>
      </c>
      <c r="D61" s="37">
        <f t="shared" si="5"/>
        <v>3420</v>
      </c>
      <c r="E61" s="37">
        <f t="shared" si="5"/>
        <v>1021</v>
      </c>
      <c r="F61" s="37">
        <f t="shared" si="5"/>
        <v>39</v>
      </c>
    </row>
    <row r="62" spans="1:6" x14ac:dyDescent="0.35">
      <c r="A62" s="26" t="s">
        <v>10</v>
      </c>
      <c r="B62" s="25">
        <f t="shared" si="4"/>
        <v>9432</v>
      </c>
      <c r="C62" s="25">
        <f>C63+C64+C65</f>
        <v>4847</v>
      </c>
      <c r="D62" s="25">
        <f>D63+D64+D65</f>
        <v>4585</v>
      </c>
      <c r="E62" s="25">
        <f>E63+E64+E65</f>
        <v>87</v>
      </c>
      <c r="F62" s="24">
        <f>F66+F67</f>
        <v>14</v>
      </c>
    </row>
    <row r="63" spans="1:6" x14ac:dyDescent="0.35">
      <c r="A63" s="36" t="s">
        <v>9</v>
      </c>
      <c r="B63" s="21">
        <f t="shared" si="4"/>
        <v>9422</v>
      </c>
      <c r="C63" s="22">
        <v>4839</v>
      </c>
      <c r="D63" s="21">
        <v>4583</v>
      </c>
      <c r="E63" s="20">
        <v>84</v>
      </c>
      <c r="F63" s="19">
        <v>13</v>
      </c>
    </row>
    <row r="64" spans="1:6" x14ac:dyDescent="0.35">
      <c r="A64" s="32" t="s">
        <v>8</v>
      </c>
      <c r="B64" s="15">
        <f t="shared" si="4"/>
        <v>0</v>
      </c>
      <c r="C64" s="16">
        <v>0</v>
      </c>
      <c r="D64" s="15">
        <v>0</v>
      </c>
      <c r="E64" s="14">
        <v>0</v>
      </c>
      <c r="F64" s="13">
        <v>0</v>
      </c>
    </row>
    <row r="65" spans="1:15" x14ac:dyDescent="0.35">
      <c r="A65" s="35" t="s">
        <v>7</v>
      </c>
      <c r="B65" s="11">
        <f t="shared" si="4"/>
        <v>10</v>
      </c>
      <c r="C65" s="34">
        <v>8</v>
      </c>
      <c r="D65" s="11">
        <v>2</v>
      </c>
      <c r="E65" s="33">
        <v>3</v>
      </c>
      <c r="F65" s="9">
        <v>1</v>
      </c>
    </row>
    <row r="66" spans="1:15" x14ac:dyDescent="0.35">
      <c r="A66" s="32" t="s">
        <v>3</v>
      </c>
      <c r="B66" s="15">
        <f t="shared" si="4"/>
        <v>9432</v>
      </c>
      <c r="C66" s="15">
        <v>4847</v>
      </c>
      <c r="D66" s="15">
        <v>4585</v>
      </c>
      <c r="E66" s="31">
        <v>87</v>
      </c>
      <c r="F66" s="13">
        <v>14</v>
      </c>
    </row>
    <row r="67" spans="1:15" x14ac:dyDescent="0.35">
      <c r="A67" s="30" t="s">
        <v>2</v>
      </c>
      <c r="B67" s="29">
        <f t="shared" si="4"/>
        <v>0</v>
      </c>
      <c r="C67" s="29">
        <v>0</v>
      </c>
      <c r="D67" s="29">
        <v>0</v>
      </c>
      <c r="E67" s="28">
        <v>0</v>
      </c>
      <c r="F67" s="27">
        <v>0</v>
      </c>
    </row>
    <row r="68" spans="1:15" x14ac:dyDescent="0.35">
      <c r="A68" s="26" t="s">
        <v>6</v>
      </c>
      <c r="B68" s="25">
        <f t="shared" si="4"/>
        <v>13160</v>
      </c>
      <c r="C68" s="25">
        <f>C69+C70</f>
        <v>7561</v>
      </c>
      <c r="D68" s="25">
        <f>D69+D70</f>
        <v>5599</v>
      </c>
      <c r="E68" s="25">
        <f>E71+E72</f>
        <v>1566</v>
      </c>
      <c r="F68" s="24">
        <f>F71+F72</f>
        <v>71</v>
      </c>
    </row>
    <row r="69" spans="1:15" x14ac:dyDescent="0.35">
      <c r="A69" s="23" t="s">
        <v>5</v>
      </c>
      <c r="B69" s="21">
        <f t="shared" si="4"/>
        <v>10507</v>
      </c>
      <c r="C69" s="22">
        <v>5873</v>
      </c>
      <c r="D69" s="21">
        <v>4634</v>
      </c>
      <c r="E69" s="20">
        <v>1167</v>
      </c>
      <c r="F69" s="19">
        <v>53</v>
      </c>
      <c r="G69" s="18"/>
    </row>
    <row r="70" spans="1:15" x14ac:dyDescent="0.35">
      <c r="A70" s="17" t="s">
        <v>4</v>
      </c>
      <c r="B70" s="15">
        <f t="shared" si="4"/>
        <v>2653</v>
      </c>
      <c r="C70" s="16">
        <v>1688</v>
      </c>
      <c r="D70" s="15">
        <v>965</v>
      </c>
      <c r="E70" s="14">
        <v>399</v>
      </c>
      <c r="F70" s="13">
        <v>30</v>
      </c>
    </row>
    <row r="71" spans="1:15" x14ac:dyDescent="0.35">
      <c r="A71" s="12" t="s">
        <v>3</v>
      </c>
      <c r="B71" s="11">
        <f t="shared" si="4"/>
        <v>5393</v>
      </c>
      <c r="C71" s="11">
        <v>3214</v>
      </c>
      <c r="D71" s="11">
        <v>2179</v>
      </c>
      <c r="E71" s="10">
        <v>545</v>
      </c>
      <c r="F71" s="9">
        <v>32</v>
      </c>
    </row>
    <row r="72" spans="1:15" x14ac:dyDescent="0.35">
      <c r="A72" s="8" t="s">
        <v>2</v>
      </c>
      <c r="B72" s="6">
        <f t="shared" si="4"/>
        <v>7767</v>
      </c>
      <c r="C72" s="7">
        <v>4347</v>
      </c>
      <c r="D72" s="6">
        <v>3420</v>
      </c>
      <c r="E72" s="5">
        <v>1021</v>
      </c>
      <c r="F72" s="4">
        <v>39</v>
      </c>
    </row>
    <row r="73" spans="1:15" x14ac:dyDescent="0.35">
      <c r="F73" s="3" t="s">
        <v>1</v>
      </c>
    </row>
    <row r="74" spans="1:15" ht="41.1" customHeight="1" x14ac:dyDescent="0.35">
      <c r="A74" s="145" t="s">
        <v>0</v>
      </c>
      <c r="B74" s="145"/>
      <c r="C74" s="145"/>
      <c r="D74" s="145"/>
      <c r="E74" s="145"/>
      <c r="F74" s="145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8FCC-3133-47EF-A871-8F345A9111AC}">
  <sheetPr codeName="Hoja2">
    <tabColor rgb="FFD4C19C"/>
    <pageSetUpPr fitToPage="1"/>
  </sheetPr>
  <dimension ref="A1:K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89">
        <v>27</v>
      </c>
      <c r="C1" s="89">
        <v>28</v>
      </c>
      <c r="D1" s="89" t="e">
        <v>#VALUE!</v>
      </c>
      <c r="E1" s="89">
        <v>29</v>
      </c>
      <c r="F1" s="89" t="e">
        <v>#VALUE!</v>
      </c>
    </row>
    <row r="3" spans="1:10" ht="13.5" customHeight="1" x14ac:dyDescent="0.35">
      <c r="C3" s="85"/>
      <c r="D3" s="85"/>
      <c r="E3" s="85"/>
      <c r="F3" s="85" t="s">
        <v>41</v>
      </c>
    </row>
    <row r="4" spans="1:10" ht="3" customHeight="1" x14ac:dyDescent="0.35">
      <c r="C4" s="85"/>
      <c r="D4" s="85"/>
      <c r="E4" s="85"/>
      <c r="F4" s="85"/>
    </row>
    <row r="5" spans="1:10" ht="15" customHeight="1" x14ac:dyDescent="0.35">
      <c r="C5" s="85"/>
      <c r="D5" s="85"/>
      <c r="E5" s="85"/>
      <c r="F5" s="85" t="s">
        <v>40</v>
      </c>
    </row>
    <row r="6" spans="1:10" ht="3.75" customHeight="1" x14ac:dyDescent="0.35"/>
    <row r="7" spans="1:10" s="1" customFormat="1" ht="15.75" customHeight="1" x14ac:dyDescent="0.35">
      <c r="A7" s="139" t="s">
        <v>29</v>
      </c>
      <c r="B7" s="139"/>
      <c r="C7" s="139"/>
      <c r="D7" s="139"/>
      <c r="E7" s="139"/>
      <c r="F7" s="139"/>
      <c r="H7" s="2"/>
      <c r="I7" s="2"/>
    </row>
    <row r="8" spans="1:10" s="1" customFormat="1" ht="15.75" customHeight="1" x14ac:dyDescent="0.35">
      <c r="A8" s="139" t="s">
        <v>76</v>
      </c>
      <c r="B8" s="139"/>
      <c r="C8" s="139"/>
      <c r="D8" s="139"/>
      <c r="E8" s="139"/>
      <c r="F8" s="139"/>
      <c r="H8" s="2"/>
      <c r="I8" s="2"/>
    </row>
    <row r="9" spans="1:10" s="1" customFormat="1" ht="3" customHeight="1" x14ac:dyDescent="0.35">
      <c r="A9" s="144"/>
      <c r="B9" s="143"/>
      <c r="C9" s="142"/>
      <c r="D9" s="141"/>
      <c r="E9" s="142"/>
      <c r="F9" s="141"/>
      <c r="H9" s="138"/>
      <c r="I9" s="2"/>
    </row>
    <row r="10" spans="1:10" s="1" customFormat="1" ht="15.75" customHeight="1" x14ac:dyDescent="0.35">
      <c r="A10" s="140" t="s">
        <v>38</v>
      </c>
      <c r="B10" s="140"/>
      <c r="C10" s="139"/>
      <c r="D10" s="139"/>
      <c r="E10" s="139"/>
      <c r="F10" s="139"/>
      <c r="H10" s="138"/>
      <c r="I10" s="2"/>
    </row>
    <row r="11" spans="1:10" ht="18" customHeight="1" x14ac:dyDescent="0.35">
      <c r="A11" s="151" t="s">
        <v>75</v>
      </c>
      <c r="B11" s="137" t="s">
        <v>74</v>
      </c>
      <c r="C11" s="136" t="s">
        <v>73</v>
      </c>
      <c r="D11" s="135"/>
      <c r="E11" s="136" t="s">
        <v>72</v>
      </c>
      <c r="F11" s="135"/>
    </row>
    <row r="12" spans="1:10" ht="21.75" customHeight="1" x14ac:dyDescent="0.35">
      <c r="A12" s="152"/>
      <c r="B12" s="134" t="s">
        <v>71</v>
      </c>
      <c r="C12" s="133" t="s">
        <v>71</v>
      </c>
      <c r="D12" s="131" t="s">
        <v>70</v>
      </c>
      <c r="E12" s="132" t="s">
        <v>71</v>
      </c>
      <c r="F12" s="131" t="s">
        <v>70</v>
      </c>
    </row>
    <row r="13" spans="1:10" x14ac:dyDescent="0.35">
      <c r="A13" s="130" t="s">
        <v>28</v>
      </c>
      <c r="B13" s="129"/>
      <c r="C13" s="128"/>
      <c r="D13" s="128"/>
      <c r="E13" s="127"/>
      <c r="F13" s="126"/>
      <c r="H13" s="86"/>
    </row>
    <row r="14" spans="1:10" x14ac:dyDescent="0.35">
      <c r="A14" s="103" t="s">
        <v>69</v>
      </c>
      <c r="B14" s="102">
        <v>90.300949425281559</v>
      </c>
      <c r="C14" s="102">
        <v>90.841324200913249</v>
      </c>
      <c r="D14" s="101">
        <v>90.548895792070439</v>
      </c>
      <c r="E14" s="100">
        <v>92.675531568274948</v>
      </c>
      <c r="F14" s="99">
        <v>92.175076705359459</v>
      </c>
      <c r="H14" s="115"/>
      <c r="I14" s="115"/>
      <c r="J14" s="115"/>
    </row>
    <row r="15" spans="1:10" x14ac:dyDescent="0.35">
      <c r="A15" s="108" t="s">
        <v>68</v>
      </c>
      <c r="B15" s="107">
        <v>89.655697937160085</v>
      </c>
      <c r="C15" s="107">
        <v>89.863901572805688</v>
      </c>
      <c r="D15" s="106">
        <v>89.822984263753895</v>
      </c>
      <c r="E15" s="105">
        <v>91.678389853789184</v>
      </c>
      <c r="F15" s="104">
        <v>91.436409983971117</v>
      </c>
      <c r="H15" s="86"/>
      <c r="I15" s="86"/>
      <c r="J15" s="86"/>
    </row>
    <row r="16" spans="1:10" x14ac:dyDescent="0.35">
      <c r="A16" s="123" t="s">
        <v>26</v>
      </c>
      <c r="B16" s="122"/>
      <c r="C16" s="122"/>
      <c r="D16" s="122"/>
      <c r="E16" s="122"/>
      <c r="F16" s="121"/>
      <c r="H16" s="86"/>
      <c r="I16" s="115"/>
      <c r="J16" s="86"/>
    </row>
    <row r="17" spans="1:11" x14ac:dyDescent="0.35">
      <c r="A17" s="103" t="s">
        <v>67</v>
      </c>
      <c r="B17" s="102">
        <v>42.057795531144677</v>
      </c>
      <c r="C17" s="102">
        <v>40.448978306728378</v>
      </c>
      <c r="D17" s="101">
        <v>38.580942141638275</v>
      </c>
      <c r="E17" s="100">
        <v>50.758995204674648</v>
      </c>
      <c r="F17" s="99">
        <v>48.361513668823143</v>
      </c>
      <c r="H17" s="86"/>
      <c r="I17" s="115"/>
      <c r="J17" s="115"/>
      <c r="K17" s="124"/>
    </row>
    <row r="18" spans="1:11" x14ac:dyDescent="0.35">
      <c r="A18" s="108" t="s">
        <v>66</v>
      </c>
      <c r="B18" s="107">
        <v>73.523421588594701</v>
      </c>
      <c r="C18" s="107">
        <v>72.200006248242673</v>
      </c>
      <c r="D18" s="106">
        <v>77.998743134706629</v>
      </c>
      <c r="E18" s="105">
        <v>80.599814035585396</v>
      </c>
      <c r="F18" s="104">
        <v>88.525570726115859</v>
      </c>
      <c r="H18" s="86"/>
      <c r="I18" s="115"/>
      <c r="J18" s="115"/>
      <c r="K18" s="124"/>
    </row>
    <row r="19" spans="1:11" x14ac:dyDescent="0.35">
      <c r="A19" s="103" t="s">
        <v>65</v>
      </c>
      <c r="B19" s="102">
        <v>62.243337195828509</v>
      </c>
      <c r="C19" s="102">
        <v>61.784946906237352</v>
      </c>
      <c r="D19" s="101">
        <v>73.121669901048492</v>
      </c>
      <c r="E19" s="100">
        <v>62.200215891491062</v>
      </c>
      <c r="F19" s="99">
        <v>77.265666530891224</v>
      </c>
      <c r="H19" s="86"/>
      <c r="I19" s="115"/>
      <c r="J19" s="115"/>
      <c r="K19" s="124"/>
    </row>
    <row r="20" spans="1:11" x14ac:dyDescent="0.35">
      <c r="A20" s="108" t="s">
        <v>64</v>
      </c>
      <c r="B20" s="107">
        <v>59.301831888740466</v>
      </c>
      <c r="C20" s="107">
        <v>58.194361878539468</v>
      </c>
      <c r="D20" s="106">
        <v>63.307350306076884</v>
      </c>
      <c r="E20" s="105">
        <v>64.548310498444977</v>
      </c>
      <c r="F20" s="104">
        <v>71.448553833817613</v>
      </c>
      <c r="H20" s="86"/>
      <c r="I20" s="115"/>
      <c r="J20" s="125"/>
      <c r="K20" s="124"/>
    </row>
    <row r="21" spans="1:11" x14ac:dyDescent="0.35">
      <c r="A21" s="103" t="s">
        <v>63</v>
      </c>
      <c r="B21" s="102">
        <v>59.353609411082466</v>
      </c>
      <c r="C21" s="102">
        <v>58.234514981800736</v>
      </c>
      <c r="D21" s="101">
        <v>63.672054942229941</v>
      </c>
      <c r="E21" s="100">
        <v>64.592964612927631</v>
      </c>
      <c r="F21" s="99">
        <v>71.858408255034533</v>
      </c>
      <c r="H21" s="86"/>
      <c r="I21" s="115"/>
      <c r="J21" s="115"/>
      <c r="K21" s="124"/>
    </row>
    <row r="22" spans="1:11" x14ac:dyDescent="0.35">
      <c r="A22" s="123" t="s">
        <v>24</v>
      </c>
      <c r="B22" s="122"/>
      <c r="C22" s="122"/>
      <c r="D22" s="122"/>
      <c r="E22" s="122"/>
      <c r="F22" s="121"/>
      <c r="H22" s="115"/>
      <c r="I22" s="115"/>
      <c r="J22" s="115"/>
    </row>
    <row r="23" spans="1:11" x14ac:dyDescent="0.35">
      <c r="A23" s="103" t="s">
        <v>50</v>
      </c>
      <c r="B23" s="102">
        <v>-0.63125286158223215</v>
      </c>
      <c r="C23" s="102">
        <v>-0.52934368191721592</v>
      </c>
      <c r="D23" s="101">
        <v>0.43876962396363073</v>
      </c>
      <c r="E23" s="102">
        <v>-0.41015516041165156</v>
      </c>
      <c r="F23" s="99">
        <v>0.39712680772554521</v>
      </c>
      <c r="H23" s="115"/>
      <c r="I23" s="115"/>
      <c r="J23" s="115"/>
    </row>
    <row r="24" spans="1:11" x14ac:dyDescent="0.35">
      <c r="A24" s="108" t="s">
        <v>58</v>
      </c>
      <c r="B24" s="107">
        <v>4.5882418979703576E-2</v>
      </c>
      <c r="C24" s="107">
        <v>4.8131186362043721E-4</v>
      </c>
      <c r="D24" s="106">
        <v>0.47104009397397339</v>
      </c>
      <c r="E24" s="107">
        <v>-4.4754894765852704E-2</v>
      </c>
      <c r="F24" s="104">
        <v>0.45218297092196602</v>
      </c>
      <c r="H24" s="115"/>
      <c r="I24" s="115"/>
      <c r="J24" s="115"/>
    </row>
    <row r="25" spans="1:11" x14ac:dyDescent="0.35">
      <c r="A25" s="103" t="s">
        <v>57</v>
      </c>
      <c r="B25" s="102">
        <v>100.06265207698921</v>
      </c>
      <c r="C25" s="102">
        <v>100.44151751204137</v>
      </c>
      <c r="D25" s="101">
        <v>96.9551648474215</v>
      </c>
      <c r="E25" s="102">
        <v>102.22706651741001</v>
      </c>
      <c r="F25" s="99">
        <v>98.150026946338286</v>
      </c>
      <c r="H25" s="115"/>
      <c r="I25" s="115"/>
      <c r="J25" s="115"/>
    </row>
    <row r="26" spans="1:11" x14ac:dyDescent="0.35">
      <c r="A26" s="108" t="s">
        <v>56</v>
      </c>
      <c r="B26" s="107">
        <v>101.76634461501986</v>
      </c>
      <c r="C26" s="107">
        <v>100.70200017885355</v>
      </c>
      <c r="D26" s="106">
        <v>101.9341223948949</v>
      </c>
      <c r="E26" s="107">
        <v>104.14453347738663</v>
      </c>
      <c r="F26" s="104">
        <v>103.78941864704068</v>
      </c>
      <c r="H26" s="115"/>
      <c r="I26" s="115"/>
      <c r="J26" s="115"/>
    </row>
    <row r="27" spans="1:11" x14ac:dyDescent="0.35">
      <c r="A27" s="103" t="s">
        <v>62</v>
      </c>
      <c r="B27" s="102">
        <v>103.22772033295371</v>
      </c>
      <c r="C27" s="102">
        <v>104.21693616438981</v>
      </c>
      <c r="D27" s="101">
        <v>101.72046958709984</v>
      </c>
      <c r="E27" s="102">
        <v>105.32416041201506</v>
      </c>
      <c r="F27" s="99">
        <v>101.19578388660526</v>
      </c>
      <c r="H27" s="115"/>
      <c r="I27" s="115"/>
      <c r="J27" s="115"/>
    </row>
    <row r="28" spans="1:11" x14ac:dyDescent="0.35">
      <c r="A28" s="108" t="s">
        <v>61</v>
      </c>
      <c r="B28" s="107">
        <v>96.106321947442382</v>
      </c>
      <c r="C28" s="107">
        <v>96.909201947174893</v>
      </c>
      <c r="D28" s="106">
        <v>96.314695429046509</v>
      </c>
      <c r="E28" s="107">
        <v>97.938902825961449</v>
      </c>
      <c r="F28" s="104">
        <v>95.816612827648669</v>
      </c>
      <c r="H28" s="86"/>
      <c r="I28" s="86"/>
      <c r="J28" s="86"/>
    </row>
    <row r="29" spans="1:11" x14ac:dyDescent="0.35">
      <c r="A29" s="123" t="s">
        <v>20</v>
      </c>
      <c r="B29" s="122"/>
      <c r="C29" s="122"/>
      <c r="D29" s="122"/>
      <c r="E29" s="122"/>
      <c r="F29" s="121"/>
      <c r="H29" s="115"/>
      <c r="I29" s="115"/>
      <c r="J29" s="115"/>
    </row>
    <row r="30" spans="1:11" x14ac:dyDescent="0.35">
      <c r="A30" s="103" t="s">
        <v>51</v>
      </c>
      <c r="B30" s="102">
        <v>93.205892567724007</v>
      </c>
      <c r="C30" s="102">
        <v>93.17956782573242</v>
      </c>
      <c r="D30" s="101">
        <v>93.105822485612947</v>
      </c>
      <c r="E30" s="100">
        <v>93.153259823873299</v>
      </c>
      <c r="F30" s="99">
        <v>95.031628893548429</v>
      </c>
      <c r="H30" s="115"/>
      <c r="I30" s="115"/>
      <c r="J30" s="115"/>
    </row>
    <row r="31" spans="1:11" x14ac:dyDescent="0.35">
      <c r="A31" s="108" t="s">
        <v>50</v>
      </c>
      <c r="B31" s="107">
        <v>1.7328798564453574</v>
      </c>
      <c r="C31" s="107">
        <v>1.2889705311634914</v>
      </c>
      <c r="D31" s="106">
        <v>2.54778221710249</v>
      </c>
      <c r="E31" s="105">
        <v>1.035375323554788</v>
      </c>
      <c r="F31" s="104">
        <v>2.2918429271874818</v>
      </c>
      <c r="H31" s="115"/>
      <c r="I31" s="115"/>
      <c r="J31" s="115"/>
    </row>
    <row r="32" spans="1:11" x14ac:dyDescent="0.35">
      <c r="A32" s="103" t="s">
        <v>58</v>
      </c>
      <c r="B32" s="102">
        <v>0.31543923078938274</v>
      </c>
      <c r="C32" s="102">
        <v>2.0767245899766529E-2</v>
      </c>
      <c r="D32" s="101">
        <v>2.2384648038226818</v>
      </c>
      <c r="E32" s="100">
        <v>1.5825539255276411E-3</v>
      </c>
      <c r="F32" s="99">
        <v>2.1403697727291782</v>
      </c>
      <c r="H32" s="115"/>
      <c r="I32" s="115"/>
      <c r="J32" s="115"/>
    </row>
    <row r="33" spans="1:10" x14ac:dyDescent="0.35">
      <c r="A33" s="108" t="s">
        <v>57</v>
      </c>
      <c r="B33" s="107">
        <v>91.698593165919561</v>
      </c>
      <c r="C33" s="107">
        <v>96.754915527440275</v>
      </c>
      <c r="D33" s="106">
        <v>92.865387576774694</v>
      </c>
      <c r="E33" s="105">
        <v>97.200701765281252</v>
      </c>
      <c r="F33" s="104">
        <v>92.527364626036132</v>
      </c>
      <c r="H33" s="115"/>
      <c r="I33" s="115"/>
      <c r="J33" s="115"/>
    </row>
    <row r="34" spans="1:10" x14ac:dyDescent="0.35">
      <c r="A34" s="103" t="s">
        <v>56</v>
      </c>
      <c r="B34" s="102">
        <v>86.980637947269301</v>
      </c>
      <c r="C34" s="102">
        <v>93.925481975731458</v>
      </c>
      <c r="D34" s="101">
        <v>91.876923795994145</v>
      </c>
      <c r="E34" s="100">
        <v>92.848668209052619</v>
      </c>
      <c r="F34" s="99">
        <v>89.804444151920364</v>
      </c>
      <c r="H34" s="115"/>
      <c r="I34" s="115"/>
      <c r="J34" s="115"/>
    </row>
    <row r="35" spans="1:10" x14ac:dyDescent="0.35">
      <c r="A35" s="108" t="s">
        <v>60</v>
      </c>
      <c r="B35" s="107">
        <v>94.41360867188385</v>
      </c>
      <c r="C35" s="107">
        <v>95.665582567285952</v>
      </c>
      <c r="D35" s="106">
        <v>94.670888333927934</v>
      </c>
      <c r="E35" s="105">
        <v>94.63909620947706</v>
      </c>
      <c r="F35" s="104">
        <v>94.056932269296951</v>
      </c>
      <c r="H35" s="115"/>
      <c r="I35" s="115"/>
      <c r="J35" s="115"/>
    </row>
    <row r="36" spans="1:10" x14ac:dyDescent="0.35">
      <c r="A36" s="103" t="s">
        <v>59</v>
      </c>
      <c r="B36" s="102">
        <v>82.28242722128374</v>
      </c>
      <c r="C36" s="102">
        <v>83.465751864997458</v>
      </c>
      <c r="D36" s="101">
        <v>83.855666307503625</v>
      </c>
      <c r="E36" s="100">
        <v>82.569967586622383</v>
      </c>
      <c r="F36" s="120">
        <v>83.305904438452842</v>
      </c>
      <c r="H36" s="115"/>
      <c r="I36" s="115"/>
      <c r="J36" s="115"/>
    </row>
    <row r="37" spans="1:10" x14ac:dyDescent="0.35">
      <c r="A37" s="119" t="s">
        <v>10</v>
      </c>
      <c r="B37" s="118"/>
      <c r="C37" s="118"/>
      <c r="D37" s="118"/>
      <c r="E37" s="118"/>
      <c r="F37" s="117"/>
      <c r="H37" s="115"/>
      <c r="I37" s="115"/>
      <c r="J37" s="115"/>
    </row>
    <row r="38" spans="1:10" x14ac:dyDescent="0.35">
      <c r="A38" s="103" t="s">
        <v>51</v>
      </c>
      <c r="B38" s="102">
        <v>96.632256476091655</v>
      </c>
      <c r="C38" s="102">
        <v>94.873052656506374</v>
      </c>
      <c r="D38" s="101">
        <v>90.303209142071765</v>
      </c>
      <c r="E38" s="100">
        <v>95.979694154997091</v>
      </c>
      <c r="F38" s="99">
        <v>91.299275514381847</v>
      </c>
      <c r="H38" s="115"/>
      <c r="I38" s="115"/>
      <c r="J38" s="115"/>
    </row>
    <row r="39" spans="1:10" x14ac:dyDescent="0.35">
      <c r="A39" s="108" t="s">
        <v>50</v>
      </c>
      <c r="B39" s="107">
        <v>16.470756782939123</v>
      </c>
      <c r="C39" s="107">
        <v>15.10986317867996</v>
      </c>
      <c r="D39" s="106">
        <v>9.2482325469735116</v>
      </c>
      <c r="E39" s="105">
        <v>15.102873660942018</v>
      </c>
      <c r="F39" s="104">
        <v>9.2356339587371004</v>
      </c>
      <c r="H39" s="115"/>
      <c r="I39" s="115"/>
      <c r="J39" s="115"/>
    </row>
    <row r="40" spans="1:10" x14ac:dyDescent="0.35">
      <c r="A40" s="103" t="s">
        <v>58</v>
      </c>
      <c r="B40" s="102">
        <v>14.713414350235132</v>
      </c>
      <c r="C40" s="102">
        <v>14.590060644246671</v>
      </c>
      <c r="D40" s="101">
        <v>12.053771184956375</v>
      </c>
      <c r="E40" s="100">
        <v>14.459047997919116</v>
      </c>
      <c r="F40" s="99">
        <v>11.972895108572123</v>
      </c>
      <c r="H40" s="115"/>
      <c r="I40" s="115"/>
      <c r="J40" s="115"/>
    </row>
    <row r="41" spans="1:10" x14ac:dyDescent="0.35">
      <c r="A41" s="108" t="s">
        <v>57</v>
      </c>
      <c r="B41" s="107">
        <v>60.522658712673284</v>
      </c>
      <c r="C41" s="107">
        <v>60.327638981514731</v>
      </c>
      <c r="D41" s="106">
        <v>70.240267556253883</v>
      </c>
      <c r="E41" s="105">
        <v>60.156875591468292</v>
      </c>
      <c r="F41" s="104">
        <v>73.212677807008802</v>
      </c>
      <c r="H41" s="86"/>
      <c r="I41" s="86"/>
      <c r="J41" s="86"/>
    </row>
    <row r="42" spans="1:10" x14ac:dyDescent="0.35">
      <c r="A42" s="103" t="s">
        <v>56</v>
      </c>
      <c r="B42" s="102">
        <v>53.268100593657707</v>
      </c>
      <c r="C42" s="102">
        <v>52.432191424537407</v>
      </c>
      <c r="D42" s="101">
        <v>63.600436314437992</v>
      </c>
      <c r="E42" s="100">
        <v>48.971095868086934</v>
      </c>
      <c r="F42" s="99">
        <v>60.075548708762398</v>
      </c>
      <c r="H42" s="115"/>
      <c r="I42" s="115"/>
      <c r="J42" s="115"/>
    </row>
    <row r="43" spans="1:10" x14ac:dyDescent="0.35">
      <c r="A43" s="108" t="s">
        <v>55</v>
      </c>
      <c r="B43" s="107">
        <v>72.111122590039898</v>
      </c>
      <c r="C43" s="107">
        <v>70.258622810167807</v>
      </c>
      <c r="D43" s="106">
        <v>72.862042704061992</v>
      </c>
      <c r="E43" s="105">
        <v>72.517916771479165</v>
      </c>
      <c r="F43" s="104">
        <v>73.197457862217306</v>
      </c>
      <c r="H43" s="115"/>
      <c r="I43" s="115"/>
      <c r="J43" s="115"/>
    </row>
    <row r="44" spans="1:10" x14ac:dyDescent="0.35">
      <c r="A44" s="103" t="s">
        <v>54</v>
      </c>
      <c r="B44" s="102">
        <v>77.192516394370074</v>
      </c>
      <c r="C44" s="102">
        <v>74.898779449891535</v>
      </c>
      <c r="D44" s="101">
        <v>78.400458538136903</v>
      </c>
      <c r="E44" s="100">
        <v>77.307231322413102</v>
      </c>
      <c r="F44" s="99">
        <v>78.773452915283144</v>
      </c>
      <c r="H44" s="115"/>
      <c r="I44" s="116"/>
      <c r="J44" s="116"/>
    </row>
    <row r="45" spans="1:10" x14ac:dyDescent="0.35">
      <c r="A45" s="108" t="s">
        <v>53</v>
      </c>
      <c r="B45" s="107">
        <v>61.182854416025897</v>
      </c>
      <c r="C45" s="107">
        <v>59.580162248055537</v>
      </c>
      <c r="D45" s="106">
        <v>60.675903080458362</v>
      </c>
      <c r="E45" s="105">
        <v>60.357200988443495</v>
      </c>
      <c r="F45" s="104">
        <v>59.146954254527095</v>
      </c>
      <c r="H45" s="115"/>
      <c r="I45" s="115"/>
      <c r="J45" s="86"/>
    </row>
    <row r="46" spans="1:10" x14ac:dyDescent="0.35">
      <c r="A46" s="114" t="s">
        <v>52</v>
      </c>
      <c r="B46" s="113"/>
      <c r="C46" s="113"/>
      <c r="D46" s="113"/>
      <c r="E46" s="113"/>
      <c r="F46" s="112"/>
      <c r="H46" s="86"/>
      <c r="I46" s="86"/>
      <c r="J46" s="86"/>
    </row>
    <row r="47" spans="1:10" x14ac:dyDescent="0.35">
      <c r="A47" s="103" t="s">
        <v>51</v>
      </c>
      <c r="B47" s="102">
        <v>79.024468770122354</v>
      </c>
      <c r="C47" s="102">
        <v>79.422681589767024</v>
      </c>
      <c r="D47" s="101">
        <v>68.075095204300098</v>
      </c>
      <c r="E47" s="100">
        <v>79.619651347068142</v>
      </c>
      <c r="F47" s="99">
        <v>69.076045758390194</v>
      </c>
      <c r="H47" s="86"/>
      <c r="I47" s="86"/>
      <c r="J47" s="86"/>
    </row>
    <row r="48" spans="1:10" x14ac:dyDescent="0.35">
      <c r="A48" s="108" t="s">
        <v>50</v>
      </c>
      <c r="B48" s="107">
        <v>9.9603238309290631</v>
      </c>
      <c r="C48" s="107">
        <v>9.7852991182634135</v>
      </c>
      <c r="D48" s="106">
        <v>8.5439504278360232</v>
      </c>
      <c r="E48" s="105">
        <v>9.5372112639501729</v>
      </c>
      <c r="F48" s="104">
        <v>8.3337551407782318</v>
      </c>
      <c r="H48" s="86"/>
      <c r="I48" s="86"/>
      <c r="J48" s="86"/>
    </row>
    <row r="49" spans="1:10" x14ac:dyDescent="0.35">
      <c r="A49" s="103" t="s">
        <v>49</v>
      </c>
      <c r="B49" s="102">
        <v>34.792883521360075</v>
      </c>
      <c r="C49" s="102">
        <v>33.490289890180883</v>
      </c>
      <c r="D49" s="101">
        <v>30.621789759912865</v>
      </c>
      <c r="E49" s="100">
        <v>32.480514355660453</v>
      </c>
      <c r="F49" s="99">
        <v>30.806235981494044</v>
      </c>
      <c r="H49" s="86"/>
      <c r="I49" s="86"/>
      <c r="J49" s="86"/>
    </row>
    <row r="50" spans="1:10" x14ac:dyDescent="0.35">
      <c r="A50" s="108" t="s">
        <v>48</v>
      </c>
      <c r="B50" s="107">
        <v>39.622161440111952</v>
      </c>
      <c r="C50" s="107">
        <v>38.146304675716443</v>
      </c>
      <c r="D50" s="106">
        <v>34.484611655840489</v>
      </c>
      <c r="E50" s="105">
        <v>37.042956802845758</v>
      </c>
      <c r="F50" s="104">
        <v>34.683476115270743</v>
      </c>
      <c r="H50" s="86"/>
      <c r="I50" s="86"/>
      <c r="J50" s="86"/>
    </row>
    <row r="51" spans="1:10" x14ac:dyDescent="0.35">
      <c r="A51" s="103" t="s">
        <v>47</v>
      </c>
      <c r="B51" s="102">
        <v>42.236196049566701</v>
      </c>
      <c r="C51" s="102">
        <v>41.315837104072401</v>
      </c>
      <c r="D51" s="101">
        <v>42.545891307303194</v>
      </c>
      <c r="E51" s="100">
        <v>40.124862549046711</v>
      </c>
      <c r="F51" s="99">
        <v>42.84947472301657</v>
      </c>
      <c r="H51" s="86"/>
      <c r="I51" s="86"/>
      <c r="J51" s="86"/>
    </row>
    <row r="52" spans="1:10" x14ac:dyDescent="0.35">
      <c r="A52" s="111" t="s">
        <v>46</v>
      </c>
      <c r="B52" s="110"/>
      <c r="C52" s="110"/>
      <c r="D52" s="110"/>
      <c r="E52" s="110"/>
      <c r="F52" s="109"/>
      <c r="H52" s="86"/>
      <c r="I52" s="86"/>
      <c r="J52" s="86"/>
    </row>
    <row r="53" spans="1:10" x14ac:dyDescent="0.35">
      <c r="A53" s="108" t="s">
        <v>45</v>
      </c>
      <c r="B53" s="107">
        <v>13.779458507104804</v>
      </c>
      <c r="C53" s="107">
        <v>13.747745268013816</v>
      </c>
      <c r="D53" s="106">
        <v>13.596245811879109</v>
      </c>
      <c r="E53" s="105">
        <v>13.724227655303499</v>
      </c>
      <c r="F53" s="104">
        <v>13.486295481889201</v>
      </c>
      <c r="H53" s="86"/>
      <c r="I53" s="86"/>
      <c r="J53" s="86"/>
    </row>
    <row r="54" spans="1:10" x14ac:dyDescent="0.35">
      <c r="A54" s="103" t="s">
        <v>44</v>
      </c>
      <c r="B54" s="102">
        <v>10</v>
      </c>
      <c r="C54" s="102">
        <v>10.106681888270433</v>
      </c>
      <c r="D54" s="101">
        <v>9.8556313156987496</v>
      </c>
      <c r="E54" s="100">
        <v>10.213363776540866</v>
      </c>
      <c r="F54" s="99">
        <v>9.971262631397499</v>
      </c>
      <c r="H54" s="86"/>
      <c r="I54" s="86"/>
      <c r="J54" s="86"/>
    </row>
    <row r="55" spans="1:10" x14ac:dyDescent="0.35">
      <c r="A55" s="98" t="s">
        <v>43</v>
      </c>
      <c r="B55" s="97">
        <v>2.5747053007617842</v>
      </c>
      <c r="C55" s="97">
        <v>2.5079091973538872</v>
      </c>
      <c r="D55" s="96">
        <v>4.4889089590471833</v>
      </c>
      <c r="E55" s="95">
        <v>2.4200816914795902</v>
      </c>
      <c r="F55" s="94">
        <v>4.3201167946423542</v>
      </c>
      <c r="H55" s="86"/>
      <c r="I55" s="86"/>
      <c r="J55" s="86"/>
    </row>
    <row r="56" spans="1:10" ht="14.25" customHeight="1" x14ac:dyDescent="0.35">
      <c r="A56" s="93"/>
      <c r="B56" s="92"/>
      <c r="D56" s="91"/>
      <c r="F56" s="91" t="s">
        <v>1</v>
      </c>
      <c r="H56" s="86"/>
      <c r="I56" s="86"/>
      <c r="J56" s="86"/>
    </row>
    <row r="57" spans="1:10" s="89" customFormat="1" ht="86.45" customHeight="1" x14ac:dyDescent="0.35">
      <c r="A57" s="153" t="s">
        <v>42</v>
      </c>
      <c r="B57" s="153"/>
      <c r="C57" s="153"/>
      <c r="D57" s="153"/>
      <c r="E57" s="90"/>
      <c r="H57" s="86"/>
      <c r="I57" s="86"/>
      <c r="J57" s="86"/>
    </row>
    <row r="58" spans="1:10" x14ac:dyDescent="0.35">
      <c r="B58" s="86"/>
      <c r="C58" s="86"/>
      <c r="D58" s="86"/>
      <c r="E58" s="88"/>
      <c r="H58" s="86"/>
      <c r="I58" s="86"/>
      <c r="J58" s="86"/>
    </row>
    <row r="59" spans="1:10" x14ac:dyDescent="0.35">
      <c r="H59" s="86"/>
      <c r="I59" s="86"/>
      <c r="J59" s="86"/>
    </row>
    <row r="60" spans="1:10" x14ac:dyDescent="0.35">
      <c r="E60" s="87"/>
      <c r="H60" s="86"/>
      <c r="I60" s="86"/>
      <c r="J60" s="86"/>
    </row>
    <row r="61" spans="1:10" x14ac:dyDescent="0.35">
      <c r="E61" s="87"/>
      <c r="H61" s="86"/>
    </row>
    <row r="62" spans="1:10" x14ac:dyDescent="0.35">
      <c r="A62" s="87"/>
      <c r="B62" s="87"/>
      <c r="C62" s="87"/>
      <c r="D62" s="87"/>
      <c r="E62" s="87"/>
      <c r="H62" s="86"/>
    </row>
    <row r="63" spans="1:10" x14ac:dyDescent="0.35">
      <c r="A63" s="87"/>
      <c r="B63" s="87"/>
      <c r="C63" s="87"/>
      <c r="D63" s="87"/>
      <c r="E63" s="87"/>
      <c r="H63" s="86"/>
    </row>
    <row r="64" spans="1:10" x14ac:dyDescent="0.35">
      <c r="A64" s="87"/>
      <c r="B64" s="87"/>
      <c r="C64" s="87"/>
      <c r="D64" s="87"/>
      <c r="E64" s="87"/>
      <c r="H64" s="86"/>
    </row>
    <row r="65" spans="8:8" x14ac:dyDescent="0.35">
      <c r="H65" s="86"/>
    </row>
    <row r="66" spans="8:8" x14ac:dyDescent="0.35">
      <c r="H66" s="86"/>
    </row>
    <row r="67" spans="8:8" x14ac:dyDescent="0.35">
      <c r="H67" s="86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Chih</vt:lpstr>
      <vt:lpstr>CHIH</vt:lpstr>
      <vt:lpstr>CHIH!Área_de_impresión</vt:lpstr>
      <vt:lpstr>'Est Chih'!Área_de_impresión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2022-09-07T17:08:39Z</cp:lastPrinted>
  <dcterms:created xsi:type="dcterms:W3CDTF">2022-09-06T18:51:32Z</dcterms:created>
  <dcterms:modified xsi:type="dcterms:W3CDTF">2022-09-07T19:14:28Z</dcterms:modified>
</cp:coreProperties>
</file>