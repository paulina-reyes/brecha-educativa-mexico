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0F0764C3-016F-45F5-AE43-37F7C58B7999}" xr6:coauthVersionLast="47" xr6:coauthVersionMax="47" xr10:uidLastSave="{00000000-0000-0000-0000-000000000000}"/>
  <bookViews>
    <workbookView xWindow="-120" yWindow="-120" windowWidth="29040" windowHeight="15840" xr2:uid="{834F6E7F-C387-473C-AA09-A0370E011C6B}"/>
  </bookViews>
  <sheets>
    <sheet name="Est Jal" sheetId="1" r:id="rId1"/>
    <sheet name="JA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Jal'!$A$1:$F$74</definedName>
    <definedName name="_xlnm.Print_Area" localSheetId="1">JAL!$A$1:$F$57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17" i="1"/>
  <c r="D19" i="1"/>
  <c r="E19" i="1"/>
  <c r="B20" i="1"/>
  <c r="C20" i="1"/>
  <c r="C19" i="1" s="1"/>
  <c r="B19" i="1" s="1"/>
  <c r="D20" i="1"/>
  <c r="D17" i="1" s="1"/>
  <c r="E20" i="1"/>
  <c r="F20" i="1"/>
  <c r="F17" i="1" s="1"/>
  <c r="C21" i="1"/>
  <c r="C18" i="1" s="1"/>
  <c r="D21" i="1"/>
  <c r="D18" i="1" s="1"/>
  <c r="D15" i="1" s="1"/>
  <c r="E21" i="1"/>
  <c r="E18" i="1" s="1"/>
  <c r="E15" i="1" s="1"/>
  <c r="F21" i="1"/>
  <c r="F19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B39" i="1"/>
  <c r="C39" i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C60" i="1"/>
  <c r="C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C15" i="1" l="1"/>
  <c r="B15" i="1" s="1"/>
  <c r="B18" i="1"/>
  <c r="D16" i="1"/>
  <c r="D13" i="1" s="1"/>
  <c r="D14" i="1"/>
  <c r="B59" i="1"/>
  <c r="E16" i="1"/>
  <c r="E13" i="1" s="1"/>
  <c r="C16" i="1"/>
  <c r="F16" i="1"/>
  <c r="F13" i="1" s="1"/>
  <c r="F14" i="1"/>
  <c r="B17" i="1"/>
  <c r="E14" i="1"/>
  <c r="B60" i="1"/>
  <c r="C14" i="1"/>
  <c r="B14" i="1" s="1"/>
  <c r="F18" i="1"/>
  <c r="F15" i="1" s="1"/>
  <c r="B21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<sst xmlns="http://schemas.openxmlformats.org/spreadsheetml/2006/main" count="133" uniqueCount="78">
  <si>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</si>
  <si>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</si>
  <si>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</si>
  <si>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</si>
  <si>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</si>
  <si>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</si>
  <si>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</si>
  <si>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</si>
  <si>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</si>
  <si>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</si>
  <si>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</si>
  <si>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</si>
  <si>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</si>
  <si>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</si>
  <si>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</si>
  <si>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</si>
  <si>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</si>
  <si>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</si>
  <si>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</si>
  <si>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</si>
  <si>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</si>
  <si>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</si>
  <si>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</si>
  <si>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</si>
  <si>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</si>
  <si>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</si>
  <si>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</si>
  <si>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</si>
  <si>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</si>
  <si>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</si>
  <si>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</si>
  <si>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</si>
  <si>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</si>
  <si>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</si>
  <si>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</si>
  <si>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</si>
  <si>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</si>
  <si>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</si>
  <si>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Jalisco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</si>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</sst>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64F6CB2D-B012-45BD-B6AD-C4EB92CBED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ECF663A4-A43B-4BEB-8EFE-7743EA882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5228DFB6-6611-42EC-A0A6-944F03DA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1DB2-2315-4357-8770-90845B7D3B22}">
  <sheetPr codeName="Hoja1">
    <tabColor rgb="FFD4C19C"/>
    <pageSetUpPr fitToPage="1"/>
  </sheetPr>
  <dimension ref="A1:P124"/>
  <sheetViews>
    <sheetView showGridLines="0" showZeros="0" tabSelected="1" workbookViewId="0">
      <selection activeCell="F9" sqref="F9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2252329</v>
      </c>
      <c r="C13" s="81">
        <f>C16+C62+C68</f>
        <v>1135058</v>
      </c>
      <c r="D13" s="81">
        <f>D16+D62+D68</f>
        <v>1117271</v>
      </c>
      <c r="E13" s="81">
        <f>E16+E62+E68</f>
        <v>135259</v>
      </c>
      <c r="F13" s="81">
        <f>F16+F62+F68</f>
        <v>14734</v>
      </c>
    </row>
    <row r="14" spans="1:16" ht="18" customHeight="1" x14ac:dyDescent="0.35">
      <c r="A14" s="42" t="s">
        <v>3</v>
      </c>
      <c r="B14" s="41">
        <f t="shared" si="0"/>
        <v>1877829</v>
      </c>
      <c r="C14" s="41">
        <f t="shared" ref="C14:F15" si="1">C17+C66+C71</f>
        <v>942944</v>
      </c>
      <c r="D14" s="41">
        <f t="shared" si="1"/>
        <v>934885</v>
      </c>
      <c r="E14" s="41">
        <f t="shared" si="1"/>
        <v>98681</v>
      </c>
      <c r="F14" s="41">
        <f t="shared" si="1"/>
        <v>11629</v>
      </c>
    </row>
    <row r="15" spans="1:16" ht="18" customHeight="1" x14ac:dyDescent="0.35">
      <c r="A15" s="40" t="s">
        <v>2</v>
      </c>
      <c r="B15" s="39">
        <f t="shared" si="0"/>
        <v>374500</v>
      </c>
      <c r="C15" s="39">
        <f t="shared" si="1"/>
        <v>192114</v>
      </c>
      <c r="D15" s="39">
        <f t="shared" si="1"/>
        <v>182386</v>
      </c>
      <c r="E15" s="39">
        <f t="shared" si="1"/>
        <v>36578</v>
      </c>
      <c r="F15" s="39">
        <f t="shared" si="1"/>
        <v>3105</v>
      </c>
    </row>
    <row r="16" spans="1:16" ht="18" customHeight="1" x14ac:dyDescent="0.35">
      <c r="A16" s="45" t="s">
        <v>29</v>
      </c>
      <c r="B16" s="44">
        <f t="shared" si="0"/>
        <v>2209567</v>
      </c>
      <c r="C16" s="44">
        <f>C17+C18</f>
        <v>1111374</v>
      </c>
      <c r="D16" s="44">
        <f>D17+D18</f>
        <v>1098193</v>
      </c>
      <c r="E16" s="44">
        <f>E17+E18</f>
        <v>130045</v>
      </c>
      <c r="F16" s="43">
        <f>F17+F18</f>
        <v>14531</v>
      </c>
    </row>
    <row r="17" spans="1:6" ht="18" customHeight="1" x14ac:dyDescent="0.35">
      <c r="A17" s="42" t="s">
        <v>3</v>
      </c>
      <c r="B17" s="41">
        <f t="shared" si="0"/>
        <v>1866222</v>
      </c>
      <c r="C17" s="41">
        <f t="shared" ref="C17:F18" si="2">C20+C50+C57</f>
        <v>936966</v>
      </c>
      <c r="D17" s="41">
        <f t="shared" si="2"/>
        <v>929256</v>
      </c>
      <c r="E17" s="41">
        <f t="shared" si="2"/>
        <v>97415</v>
      </c>
      <c r="F17" s="41">
        <f t="shared" si="2"/>
        <v>11586</v>
      </c>
    </row>
    <row r="18" spans="1:6" ht="18" customHeight="1" x14ac:dyDescent="0.35">
      <c r="A18" s="40" t="s">
        <v>2</v>
      </c>
      <c r="B18" s="39">
        <f t="shared" si="0"/>
        <v>343345</v>
      </c>
      <c r="C18" s="39">
        <f t="shared" si="2"/>
        <v>174408</v>
      </c>
      <c r="D18" s="39">
        <f t="shared" si="2"/>
        <v>168937</v>
      </c>
      <c r="E18" s="39">
        <f t="shared" si="2"/>
        <v>32630</v>
      </c>
      <c r="F18" s="39">
        <f t="shared" si="2"/>
        <v>2945</v>
      </c>
    </row>
    <row r="19" spans="1:6" ht="18" customHeight="1" x14ac:dyDescent="0.35">
      <c r="A19" s="80" t="s">
        <v>28</v>
      </c>
      <c r="B19" s="79">
        <f t="shared" si="0"/>
        <v>1641333</v>
      </c>
      <c r="C19" s="79">
        <f>C20+C21</f>
        <v>808770</v>
      </c>
      <c r="D19" s="79">
        <f>D20+D21</f>
        <v>832563</v>
      </c>
      <c r="E19" s="79">
        <f>E20+E21</f>
        <v>76416</v>
      </c>
      <c r="F19" s="78">
        <f>F20+F21</f>
        <v>13079</v>
      </c>
    </row>
    <row r="20" spans="1:6" ht="18" customHeight="1" x14ac:dyDescent="0.35">
      <c r="A20" s="42" t="s">
        <v>3</v>
      </c>
      <c r="B20" s="41">
        <f t="shared" si="0"/>
        <v>1427850</v>
      </c>
      <c r="C20" s="41">
        <f t="shared" ref="C20:F21" si="3">C25+C31+C37+C43</f>
        <v>703676</v>
      </c>
      <c r="D20" s="41">
        <f t="shared" si="3"/>
        <v>724174</v>
      </c>
      <c r="E20" s="41">
        <f t="shared" si="3"/>
        <v>63076</v>
      </c>
      <c r="F20" s="77">
        <f t="shared" si="3"/>
        <v>10835</v>
      </c>
    </row>
    <row r="21" spans="1:6" ht="18" customHeight="1" x14ac:dyDescent="0.35">
      <c r="A21" s="76" t="s">
        <v>2</v>
      </c>
      <c r="B21" s="75">
        <f t="shared" si="0"/>
        <v>213483</v>
      </c>
      <c r="C21" s="75">
        <f t="shared" si="3"/>
        <v>105094</v>
      </c>
      <c r="D21" s="75">
        <f t="shared" si="3"/>
        <v>108389</v>
      </c>
      <c r="E21" s="75">
        <f t="shared" si="3"/>
        <v>13340</v>
      </c>
      <c r="F21" s="74">
        <f t="shared" si="3"/>
        <v>2244</v>
      </c>
    </row>
    <row r="22" spans="1:6" ht="18" customHeight="1" x14ac:dyDescent="0.35">
      <c r="A22" s="69" t="s">
        <v>27</v>
      </c>
      <c r="B22" s="68">
        <f t="shared" si="0"/>
        <v>9681</v>
      </c>
      <c r="C22" s="68">
        <f>C23+C24</f>
        <v>4646</v>
      </c>
      <c r="D22" s="68">
        <f>D23+D24</f>
        <v>5035</v>
      </c>
      <c r="E22" s="68">
        <f>E23+E24</f>
        <v>743</v>
      </c>
      <c r="F22" s="67">
        <f>F23+F24</f>
        <v>186</v>
      </c>
    </row>
    <row r="23" spans="1:6" ht="18" customHeight="1" x14ac:dyDescent="0.35">
      <c r="A23" s="72" t="s">
        <v>23</v>
      </c>
      <c r="B23" s="49">
        <f t="shared" si="0"/>
        <v>9448</v>
      </c>
      <c r="C23" s="49">
        <v>4528</v>
      </c>
      <c r="D23" s="49">
        <v>4920</v>
      </c>
      <c r="E23" s="49">
        <v>730</v>
      </c>
      <c r="F23" s="9">
        <v>173</v>
      </c>
    </row>
    <row r="24" spans="1:6" ht="18" customHeight="1" x14ac:dyDescent="0.35">
      <c r="A24" s="73" t="s">
        <v>22</v>
      </c>
      <c r="B24" s="50">
        <f t="shared" si="0"/>
        <v>233</v>
      </c>
      <c r="C24" s="50">
        <v>118</v>
      </c>
      <c r="D24" s="50">
        <v>115</v>
      </c>
      <c r="E24" s="50">
        <v>13</v>
      </c>
      <c r="F24" s="46">
        <v>13</v>
      </c>
    </row>
    <row r="25" spans="1:6" ht="18" customHeight="1" x14ac:dyDescent="0.35">
      <c r="A25" s="36" t="s">
        <v>3</v>
      </c>
      <c r="B25" s="11">
        <f t="shared" si="0"/>
        <v>1527</v>
      </c>
      <c r="C25" s="11">
        <v>747</v>
      </c>
      <c r="D25" s="11">
        <v>780</v>
      </c>
      <c r="E25" s="11">
        <v>212</v>
      </c>
      <c r="F25" s="9">
        <v>66</v>
      </c>
    </row>
    <row r="26" spans="1:6" ht="18" customHeight="1" x14ac:dyDescent="0.35">
      <c r="A26" s="58" t="s">
        <v>2</v>
      </c>
      <c r="B26" s="57">
        <f t="shared" si="0"/>
        <v>8154</v>
      </c>
      <c r="C26" s="57">
        <v>3899</v>
      </c>
      <c r="D26" s="57">
        <v>4255</v>
      </c>
      <c r="E26" s="57">
        <v>531</v>
      </c>
      <c r="F26" s="56">
        <v>120</v>
      </c>
    </row>
    <row r="27" spans="1:6" ht="18" customHeight="1" x14ac:dyDescent="0.35">
      <c r="A27" s="69" t="s">
        <v>26</v>
      </c>
      <c r="B27" s="68">
        <f t="shared" si="0"/>
        <v>281773</v>
      </c>
      <c r="C27" s="68">
        <f>C28+C29+C30</f>
        <v>139917</v>
      </c>
      <c r="D27" s="68">
        <f>D28+D29+D30</f>
        <v>141856</v>
      </c>
      <c r="E27" s="68">
        <f>E28+E29+E30</f>
        <v>14266</v>
      </c>
      <c r="F27" s="67">
        <f>F28+F29+F30</f>
        <v>5109</v>
      </c>
    </row>
    <row r="28" spans="1:6" ht="18" customHeight="1" x14ac:dyDescent="0.35">
      <c r="A28" s="72" t="s">
        <v>25</v>
      </c>
      <c r="B28" s="49">
        <f t="shared" si="0"/>
        <v>272436</v>
      </c>
      <c r="C28" s="49">
        <v>135364</v>
      </c>
      <c r="D28" s="49">
        <v>137072</v>
      </c>
      <c r="E28" s="49">
        <v>13242</v>
      </c>
      <c r="F28" s="9">
        <v>3980</v>
      </c>
    </row>
    <row r="29" spans="1:6" ht="18" customHeight="1" x14ac:dyDescent="0.35">
      <c r="A29" s="73" t="s">
        <v>22</v>
      </c>
      <c r="B29" s="50">
        <f t="shared" si="0"/>
        <v>1146</v>
      </c>
      <c r="C29" s="50">
        <v>529</v>
      </c>
      <c r="D29" s="50">
        <v>617</v>
      </c>
      <c r="E29" s="50">
        <v>78</v>
      </c>
      <c r="F29" s="46">
        <v>54</v>
      </c>
    </row>
    <row r="30" spans="1:6" ht="18" customHeight="1" x14ac:dyDescent="0.35">
      <c r="A30" s="72" t="s">
        <v>21</v>
      </c>
      <c r="B30" s="49">
        <f t="shared" si="0"/>
        <v>8191</v>
      </c>
      <c r="C30" s="49">
        <v>4024</v>
      </c>
      <c r="D30" s="49">
        <v>4167</v>
      </c>
      <c r="E30" s="49">
        <v>946</v>
      </c>
      <c r="F30" s="9">
        <v>1075</v>
      </c>
    </row>
    <row r="31" spans="1:6" ht="18" customHeight="1" x14ac:dyDescent="0.35">
      <c r="A31" s="71" t="s">
        <v>3</v>
      </c>
      <c r="B31" s="66">
        <f t="shared" si="0"/>
        <v>233909</v>
      </c>
      <c r="C31" s="66">
        <v>116127</v>
      </c>
      <c r="D31" s="66">
        <v>117782</v>
      </c>
      <c r="E31" s="66">
        <v>11122</v>
      </c>
      <c r="F31" s="70">
        <v>4022</v>
      </c>
    </row>
    <row r="32" spans="1:6" ht="18" customHeight="1" x14ac:dyDescent="0.35">
      <c r="A32" s="31" t="s">
        <v>2</v>
      </c>
      <c r="B32" s="30">
        <f t="shared" si="0"/>
        <v>47864</v>
      </c>
      <c r="C32" s="30">
        <v>23790</v>
      </c>
      <c r="D32" s="30">
        <v>24074</v>
      </c>
      <c r="E32" s="30">
        <v>3144</v>
      </c>
      <c r="F32" s="27">
        <v>1087</v>
      </c>
    </row>
    <row r="33" spans="1:6" ht="18" customHeight="1" x14ac:dyDescent="0.35">
      <c r="A33" s="69" t="s">
        <v>24</v>
      </c>
      <c r="B33" s="68">
        <f t="shared" si="0"/>
        <v>933401</v>
      </c>
      <c r="C33" s="68">
        <f>C34+C35+C36</f>
        <v>457479</v>
      </c>
      <c r="D33" s="68">
        <f>D34+D35+D36</f>
        <v>475922</v>
      </c>
      <c r="E33" s="68">
        <f>E34+E35+E36</f>
        <v>33851</v>
      </c>
      <c r="F33" s="67">
        <f>F34+F35+F36</f>
        <v>5624</v>
      </c>
    </row>
    <row r="34" spans="1:6" ht="18" customHeight="1" x14ac:dyDescent="0.35">
      <c r="A34" s="72" t="s">
        <v>23</v>
      </c>
      <c r="B34" s="49">
        <f t="shared" si="0"/>
        <v>923699</v>
      </c>
      <c r="C34" s="49">
        <v>452676</v>
      </c>
      <c r="D34" s="49">
        <v>471023</v>
      </c>
      <c r="E34" s="49">
        <v>33118</v>
      </c>
      <c r="F34" s="9">
        <v>5138</v>
      </c>
    </row>
    <row r="35" spans="1:6" ht="18" customHeight="1" x14ac:dyDescent="0.35">
      <c r="A35" s="73" t="s">
        <v>22</v>
      </c>
      <c r="B35" s="50">
        <f t="shared" si="0"/>
        <v>6324</v>
      </c>
      <c r="C35" s="50">
        <v>3119</v>
      </c>
      <c r="D35" s="50">
        <v>3205</v>
      </c>
      <c r="E35" s="50">
        <v>322</v>
      </c>
      <c r="F35" s="46">
        <v>104</v>
      </c>
    </row>
    <row r="36" spans="1:6" ht="18" customHeight="1" x14ac:dyDescent="0.35">
      <c r="A36" s="72" t="s">
        <v>21</v>
      </c>
      <c r="B36" s="49">
        <f t="shared" si="0"/>
        <v>3378</v>
      </c>
      <c r="C36" s="49">
        <v>1684</v>
      </c>
      <c r="D36" s="49">
        <v>1694</v>
      </c>
      <c r="E36" s="49">
        <v>411</v>
      </c>
      <c r="F36" s="9">
        <v>382</v>
      </c>
    </row>
    <row r="37" spans="1:6" ht="18" customHeight="1" x14ac:dyDescent="0.35">
      <c r="A37" s="71" t="s">
        <v>3</v>
      </c>
      <c r="B37" s="66">
        <f t="shared" si="0"/>
        <v>824503</v>
      </c>
      <c r="C37" s="66">
        <v>403683</v>
      </c>
      <c r="D37" s="66">
        <v>420820</v>
      </c>
      <c r="E37" s="66">
        <v>29076</v>
      </c>
      <c r="F37" s="70">
        <v>4993</v>
      </c>
    </row>
    <row r="38" spans="1:6" ht="18" customHeight="1" x14ac:dyDescent="0.35">
      <c r="A38" s="31" t="s">
        <v>2</v>
      </c>
      <c r="B38" s="30">
        <f t="shared" si="0"/>
        <v>108898</v>
      </c>
      <c r="C38" s="30">
        <v>53796</v>
      </c>
      <c r="D38" s="30">
        <v>55102</v>
      </c>
      <c r="E38" s="30">
        <v>4775</v>
      </c>
      <c r="F38" s="27">
        <v>631</v>
      </c>
    </row>
    <row r="39" spans="1:6" ht="18" customHeight="1" x14ac:dyDescent="0.35">
      <c r="A39" s="69" t="s">
        <v>20</v>
      </c>
      <c r="B39" s="68">
        <f t="shared" si="0"/>
        <v>416478</v>
      </c>
      <c r="C39" s="68">
        <f>C40+C41+C42</f>
        <v>206728</v>
      </c>
      <c r="D39" s="68">
        <f>D40+D41+D42</f>
        <v>209750</v>
      </c>
      <c r="E39" s="68">
        <f>E40+E41+E42</f>
        <v>27556</v>
      </c>
      <c r="F39" s="67">
        <f>F40+F41+F42</f>
        <v>2160</v>
      </c>
    </row>
    <row r="40" spans="1:6" ht="18" customHeight="1" x14ac:dyDescent="0.35">
      <c r="A40" s="61" t="s">
        <v>19</v>
      </c>
      <c r="B40" s="11">
        <f t="shared" si="0"/>
        <v>252806</v>
      </c>
      <c r="C40" s="49">
        <v>125355</v>
      </c>
      <c r="D40" s="49">
        <v>127451</v>
      </c>
      <c r="E40" s="11">
        <v>18180</v>
      </c>
      <c r="F40" s="9">
        <v>1198</v>
      </c>
    </row>
    <row r="41" spans="1:6" ht="18" customHeight="1" x14ac:dyDescent="0.35">
      <c r="A41" s="62" t="s">
        <v>18</v>
      </c>
      <c r="B41" s="50">
        <f t="shared" si="0"/>
        <v>39866</v>
      </c>
      <c r="C41" s="50">
        <v>19626</v>
      </c>
      <c r="D41" s="50">
        <v>20240</v>
      </c>
      <c r="E41" s="50">
        <v>2249</v>
      </c>
      <c r="F41" s="46">
        <v>646</v>
      </c>
    </row>
    <row r="42" spans="1:6" ht="18" customHeight="1" x14ac:dyDescent="0.35">
      <c r="A42" s="61" t="s">
        <v>17</v>
      </c>
      <c r="B42" s="49">
        <f t="shared" si="0"/>
        <v>123806</v>
      </c>
      <c r="C42" s="49">
        <v>61747</v>
      </c>
      <c r="D42" s="49">
        <v>62059</v>
      </c>
      <c r="E42" s="49">
        <v>7127</v>
      </c>
      <c r="F42" s="9">
        <v>316</v>
      </c>
    </row>
    <row r="43" spans="1:6" ht="18" customHeight="1" x14ac:dyDescent="0.35">
      <c r="A43" s="62" t="s">
        <v>3</v>
      </c>
      <c r="B43" s="66">
        <f t="shared" si="0"/>
        <v>367911</v>
      </c>
      <c r="C43" s="47">
        <v>183119</v>
      </c>
      <c r="D43" s="47">
        <v>184792</v>
      </c>
      <c r="E43" s="47">
        <v>22666</v>
      </c>
      <c r="F43" s="46">
        <v>1754</v>
      </c>
    </row>
    <row r="44" spans="1:6" ht="18" customHeight="1" x14ac:dyDescent="0.35">
      <c r="A44" s="31" t="s">
        <v>2</v>
      </c>
      <c r="B44" s="30">
        <f t="shared" si="0"/>
        <v>48567</v>
      </c>
      <c r="C44" s="30">
        <v>23609</v>
      </c>
      <c r="D44" s="30">
        <v>24958</v>
      </c>
      <c r="E44" s="30">
        <v>4890</v>
      </c>
      <c r="F44" s="27">
        <v>406</v>
      </c>
    </row>
    <row r="45" spans="1:6" ht="18" customHeight="1" x14ac:dyDescent="0.35">
      <c r="A45" s="65" t="s">
        <v>16</v>
      </c>
      <c r="B45" s="64">
        <f t="shared" ref="B45:B72" si="4">C45+D45</f>
        <v>319518</v>
      </c>
      <c r="C45" s="64">
        <f>C46+C47+C48+C49</f>
        <v>169245</v>
      </c>
      <c r="D45" s="64">
        <f>D46+D47+D48+D49</f>
        <v>150273</v>
      </c>
      <c r="E45" s="64">
        <f>E46+E47+E48+E49</f>
        <v>27552</v>
      </c>
      <c r="F45" s="63">
        <f>F46+F47+F48+F49</f>
        <v>1145</v>
      </c>
    </row>
    <row r="46" spans="1:6" ht="18" customHeight="1" x14ac:dyDescent="0.35">
      <c r="A46" s="61" t="s">
        <v>9</v>
      </c>
      <c r="B46" s="59">
        <f t="shared" si="4"/>
        <v>233289</v>
      </c>
      <c r="C46" s="49">
        <v>127293</v>
      </c>
      <c r="D46" s="49">
        <v>105996</v>
      </c>
      <c r="E46" s="49">
        <v>17238</v>
      </c>
      <c r="F46" s="9">
        <v>932</v>
      </c>
    </row>
    <row r="47" spans="1:6" ht="18" customHeight="1" x14ac:dyDescent="0.35">
      <c r="A47" s="62" t="s">
        <v>8</v>
      </c>
      <c r="B47" s="47">
        <f t="shared" si="4"/>
        <v>61475</v>
      </c>
      <c r="C47" s="50">
        <v>30779</v>
      </c>
      <c r="D47" s="50">
        <v>30696</v>
      </c>
      <c r="E47" s="50">
        <v>6955</v>
      </c>
      <c r="F47" s="46">
        <v>168</v>
      </c>
    </row>
    <row r="48" spans="1:6" ht="18" customHeight="1" x14ac:dyDescent="0.35">
      <c r="A48" s="61" t="s">
        <v>15</v>
      </c>
      <c r="B48" s="11">
        <f t="shared" si="4"/>
        <v>13107</v>
      </c>
      <c r="C48" s="11">
        <v>5810</v>
      </c>
      <c r="D48" s="11">
        <v>7297</v>
      </c>
      <c r="E48" s="11">
        <v>2029</v>
      </c>
      <c r="F48" s="9">
        <v>30</v>
      </c>
    </row>
    <row r="49" spans="1:6" ht="18" customHeight="1" x14ac:dyDescent="0.35">
      <c r="A49" s="48" t="s">
        <v>7</v>
      </c>
      <c r="B49" s="47">
        <f t="shared" si="4"/>
        <v>11647</v>
      </c>
      <c r="C49" s="50">
        <v>5363</v>
      </c>
      <c r="D49" s="60">
        <v>6284</v>
      </c>
      <c r="E49" s="47">
        <v>1330</v>
      </c>
      <c r="F49" s="46">
        <v>15</v>
      </c>
    </row>
    <row r="50" spans="1:6" ht="18" customHeight="1" x14ac:dyDescent="0.35">
      <c r="A50" s="36" t="s">
        <v>3</v>
      </c>
      <c r="B50" s="59">
        <f t="shared" si="4"/>
        <v>268449</v>
      </c>
      <c r="C50" s="59">
        <v>143230</v>
      </c>
      <c r="D50" s="59">
        <v>125219</v>
      </c>
      <c r="E50" s="59">
        <v>20651</v>
      </c>
      <c r="F50" s="9">
        <v>679</v>
      </c>
    </row>
    <row r="51" spans="1:6" ht="18" customHeight="1" x14ac:dyDescent="0.35">
      <c r="A51" s="58" t="s">
        <v>2</v>
      </c>
      <c r="B51" s="57">
        <f t="shared" si="4"/>
        <v>51069</v>
      </c>
      <c r="C51" s="57">
        <v>26015</v>
      </c>
      <c r="D51" s="57">
        <v>25054</v>
      </c>
      <c r="E51" s="57">
        <v>6901</v>
      </c>
      <c r="F51" s="56">
        <v>466</v>
      </c>
    </row>
    <row r="52" spans="1:6" ht="18" customHeight="1" x14ac:dyDescent="0.35">
      <c r="A52" s="55" t="s">
        <v>14</v>
      </c>
      <c r="B52" s="54">
        <f t="shared" si="4"/>
        <v>248716</v>
      </c>
      <c r="C52" s="54">
        <f>C54+C55+C56</f>
        <v>133359</v>
      </c>
      <c r="D52" s="54">
        <f>D54+D55+D56</f>
        <v>115357</v>
      </c>
      <c r="E52" s="54">
        <f>E54+E55+E56</f>
        <v>26077</v>
      </c>
      <c r="F52" s="53">
        <f>F57+F58</f>
        <v>307</v>
      </c>
    </row>
    <row r="53" spans="1:6" ht="18" customHeight="1" x14ac:dyDescent="0.35">
      <c r="A53" s="48" t="s">
        <v>5</v>
      </c>
      <c r="B53" s="47">
        <f t="shared" si="4"/>
        <v>235729</v>
      </c>
      <c r="C53" s="50">
        <f>C54+C55</f>
        <v>126720</v>
      </c>
      <c r="D53" s="47">
        <f>D54+D55</f>
        <v>109009</v>
      </c>
      <c r="E53" s="47">
        <f>E54+E55</f>
        <v>21702</v>
      </c>
      <c r="F53" s="46">
        <f>F54+F55</f>
        <v>256</v>
      </c>
    </row>
    <row r="54" spans="1:6" ht="18" customHeight="1" x14ac:dyDescent="0.35">
      <c r="A54" s="52" t="s">
        <v>13</v>
      </c>
      <c r="B54" s="11">
        <f t="shared" si="4"/>
        <v>5691</v>
      </c>
      <c r="C54" s="49">
        <v>4475</v>
      </c>
      <c r="D54" s="11">
        <v>1216</v>
      </c>
      <c r="E54" s="11">
        <v>606</v>
      </c>
      <c r="F54" s="9">
        <v>20</v>
      </c>
    </row>
    <row r="55" spans="1:6" ht="18" customHeight="1" x14ac:dyDescent="0.35">
      <c r="A55" s="51" t="s">
        <v>12</v>
      </c>
      <c r="B55" s="47">
        <f t="shared" si="4"/>
        <v>230038</v>
      </c>
      <c r="C55" s="50">
        <v>122245</v>
      </c>
      <c r="D55" s="47">
        <v>107793</v>
      </c>
      <c r="E55" s="47">
        <v>21096</v>
      </c>
      <c r="F55" s="46">
        <v>236</v>
      </c>
    </row>
    <row r="56" spans="1:6" ht="18" customHeight="1" x14ac:dyDescent="0.35">
      <c r="A56" s="36" t="s">
        <v>4</v>
      </c>
      <c r="B56" s="11">
        <f t="shared" si="4"/>
        <v>12987</v>
      </c>
      <c r="C56" s="49">
        <v>6639</v>
      </c>
      <c r="D56" s="11">
        <v>6348</v>
      </c>
      <c r="E56" s="11">
        <v>4375</v>
      </c>
      <c r="F56" s="9">
        <v>132</v>
      </c>
    </row>
    <row r="57" spans="1:6" ht="18" customHeight="1" x14ac:dyDescent="0.35">
      <c r="A57" s="48" t="s">
        <v>3</v>
      </c>
      <c r="B57" s="47">
        <f t="shared" si="4"/>
        <v>169923</v>
      </c>
      <c r="C57" s="47">
        <v>90060</v>
      </c>
      <c r="D57" s="47">
        <v>79863</v>
      </c>
      <c r="E57" s="47">
        <v>13688</v>
      </c>
      <c r="F57" s="46">
        <v>72</v>
      </c>
    </row>
    <row r="58" spans="1:6" ht="18" customHeight="1" x14ac:dyDescent="0.35">
      <c r="A58" s="31" t="s">
        <v>2</v>
      </c>
      <c r="B58" s="29">
        <f t="shared" si="4"/>
        <v>78793</v>
      </c>
      <c r="C58" s="30">
        <v>43299</v>
      </c>
      <c r="D58" s="30">
        <v>35494</v>
      </c>
      <c r="E58" s="30">
        <v>12389</v>
      </c>
      <c r="F58" s="27">
        <v>235</v>
      </c>
    </row>
    <row r="59" spans="1:6" ht="18" customHeight="1" x14ac:dyDescent="0.35">
      <c r="A59" s="45" t="s">
        <v>11</v>
      </c>
      <c r="B59" s="44">
        <f t="shared" si="4"/>
        <v>42762</v>
      </c>
      <c r="C59" s="44">
        <f>C60+C61</f>
        <v>23684</v>
      </c>
      <c r="D59" s="44">
        <f>D60+D61</f>
        <v>19078</v>
      </c>
      <c r="E59" s="44">
        <f>E60+E61</f>
        <v>5214</v>
      </c>
      <c r="F59" s="43">
        <f>F60+F61</f>
        <v>203</v>
      </c>
    </row>
    <row r="60" spans="1:6" ht="18" customHeight="1" x14ac:dyDescent="0.35">
      <c r="A60" s="42" t="s">
        <v>3</v>
      </c>
      <c r="B60" s="41">
        <f t="shared" si="4"/>
        <v>11607</v>
      </c>
      <c r="C60" s="41">
        <f t="shared" ref="C60:F61" si="5">C66+C71</f>
        <v>5978</v>
      </c>
      <c r="D60" s="41">
        <f t="shared" si="5"/>
        <v>5629</v>
      </c>
      <c r="E60" s="41">
        <f t="shared" si="5"/>
        <v>1266</v>
      </c>
      <c r="F60" s="41">
        <f t="shared" si="5"/>
        <v>43</v>
      </c>
    </row>
    <row r="61" spans="1:6" ht="18" customHeight="1" x14ac:dyDescent="0.35">
      <c r="A61" s="40" t="s">
        <v>2</v>
      </c>
      <c r="B61" s="39">
        <f t="shared" si="4"/>
        <v>31155</v>
      </c>
      <c r="C61" s="39">
        <f t="shared" si="5"/>
        <v>17706</v>
      </c>
      <c r="D61" s="39">
        <f t="shared" si="5"/>
        <v>13449</v>
      </c>
      <c r="E61" s="39">
        <f t="shared" si="5"/>
        <v>3948</v>
      </c>
      <c r="F61" s="39">
        <f t="shared" si="5"/>
        <v>160</v>
      </c>
    </row>
    <row r="62" spans="1:6" x14ac:dyDescent="0.35">
      <c r="A62" s="26" t="s">
        <v>10</v>
      </c>
      <c r="B62" s="25">
        <f t="shared" si="4"/>
        <v>6055</v>
      </c>
      <c r="C62" s="25">
        <f>C63+C64+C65</f>
        <v>3090</v>
      </c>
      <c r="D62" s="25">
        <f>D63+D64+D65</f>
        <v>2965</v>
      </c>
      <c r="E62" s="25">
        <f>E63+E64+E65</f>
        <v>208</v>
      </c>
      <c r="F62" s="24">
        <f>F66+F67</f>
        <v>31</v>
      </c>
    </row>
    <row r="63" spans="1:6" x14ac:dyDescent="0.35">
      <c r="A63" s="38" t="s">
        <v>9</v>
      </c>
      <c r="B63" s="21">
        <f t="shared" si="4"/>
        <v>6055</v>
      </c>
      <c r="C63" s="22">
        <v>3090</v>
      </c>
      <c r="D63" s="21">
        <v>2965</v>
      </c>
      <c r="E63" s="20">
        <v>208</v>
      </c>
      <c r="F63" s="19">
        <v>31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4240</v>
      </c>
      <c r="C66" s="15">
        <v>2056</v>
      </c>
      <c r="D66" s="15">
        <v>2184</v>
      </c>
      <c r="E66" s="32">
        <v>88</v>
      </c>
      <c r="F66" s="13">
        <v>17</v>
      </c>
    </row>
    <row r="67" spans="1:15" x14ac:dyDescent="0.35">
      <c r="A67" s="31" t="s">
        <v>2</v>
      </c>
      <c r="B67" s="29">
        <f t="shared" si="4"/>
        <v>1815</v>
      </c>
      <c r="C67" s="30">
        <v>1034</v>
      </c>
      <c r="D67" s="29">
        <v>781</v>
      </c>
      <c r="E67" s="28">
        <v>120</v>
      </c>
      <c r="F67" s="27">
        <v>14</v>
      </c>
    </row>
    <row r="68" spans="1:15" x14ac:dyDescent="0.35">
      <c r="A68" s="26" t="s">
        <v>6</v>
      </c>
      <c r="B68" s="25">
        <f t="shared" si="4"/>
        <v>36707</v>
      </c>
      <c r="C68" s="25">
        <f>C69+C70</f>
        <v>20594</v>
      </c>
      <c r="D68" s="25">
        <f>D69+D70</f>
        <v>16113</v>
      </c>
      <c r="E68" s="25">
        <f>E71+E72</f>
        <v>5006</v>
      </c>
      <c r="F68" s="24">
        <f>F71+F72</f>
        <v>172</v>
      </c>
    </row>
    <row r="69" spans="1:15" x14ac:dyDescent="0.35">
      <c r="A69" s="23" t="s">
        <v>5</v>
      </c>
      <c r="B69" s="21">
        <f t="shared" si="4"/>
        <v>31444</v>
      </c>
      <c r="C69" s="22">
        <v>17385</v>
      </c>
      <c r="D69" s="21">
        <v>14059</v>
      </c>
      <c r="E69" s="20">
        <v>3773</v>
      </c>
      <c r="F69" s="19">
        <v>123</v>
      </c>
      <c r="G69" s="18"/>
    </row>
    <row r="70" spans="1:15" x14ac:dyDescent="0.35">
      <c r="A70" s="17" t="s">
        <v>4</v>
      </c>
      <c r="B70" s="15">
        <f t="shared" si="4"/>
        <v>5263</v>
      </c>
      <c r="C70" s="16">
        <v>3209</v>
      </c>
      <c r="D70" s="15">
        <v>2054</v>
      </c>
      <c r="E70" s="14">
        <v>1233</v>
      </c>
      <c r="F70" s="13">
        <v>77</v>
      </c>
    </row>
    <row r="71" spans="1:15" x14ac:dyDescent="0.35">
      <c r="A71" s="12" t="s">
        <v>3</v>
      </c>
      <c r="B71" s="11">
        <f t="shared" si="4"/>
        <v>7367</v>
      </c>
      <c r="C71" s="11">
        <v>3922</v>
      </c>
      <c r="D71" s="11">
        <v>3445</v>
      </c>
      <c r="E71" s="10">
        <v>1178</v>
      </c>
      <c r="F71" s="9">
        <v>26</v>
      </c>
    </row>
    <row r="72" spans="1:15" x14ac:dyDescent="0.35">
      <c r="A72" s="8" t="s">
        <v>2</v>
      </c>
      <c r="B72" s="6">
        <f t="shared" si="4"/>
        <v>29340</v>
      </c>
      <c r="C72" s="7">
        <v>16672</v>
      </c>
      <c r="D72" s="6">
        <v>12668</v>
      </c>
      <c r="E72" s="5">
        <v>3828</v>
      </c>
      <c r="F72" s="4">
        <v>146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FF9C-3CD4-491F-AE0C-6A3E16BE55AD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F9" sqref="F9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92.257445338484928</v>
      </c>
      <c r="C14" s="103">
        <v>92.294429985796526</v>
      </c>
      <c r="D14" s="102">
        <v>90.548895792070439</v>
      </c>
      <c r="E14" s="101">
        <v>93.838682403638316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91.454837680744518</v>
      </c>
      <c r="C15" s="108">
        <v>91.509477186478478</v>
      </c>
      <c r="D15" s="107">
        <v>89.822984263753895</v>
      </c>
      <c r="E15" s="106">
        <v>93.04058338617628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25.868540412946967</v>
      </c>
      <c r="C17" s="103">
        <v>25.465014516509925</v>
      </c>
      <c r="D17" s="102">
        <v>38.580942141638275</v>
      </c>
      <c r="E17" s="101">
        <v>32.154908191097483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83.769697796575485</v>
      </c>
      <c r="C18" s="108">
        <v>82.861325104973432</v>
      </c>
      <c r="D18" s="107">
        <v>77.998743134706629</v>
      </c>
      <c r="E18" s="106">
        <v>91.643248657522051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84.665902291091413</v>
      </c>
      <c r="C19" s="103">
        <v>83.637680268344511</v>
      </c>
      <c r="D19" s="102">
        <v>73.121669901048492</v>
      </c>
      <c r="E19" s="101">
        <v>87.203556632210649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64.880378422632589</v>
      </c>
      <c r="C20" s="108">
        <v>64.163068465996432</v>
      </c>
      <c r="D20" s="107">
        <v>63.307350306076884</v>
      </c>
      <c r="E20" s="106">
        <v>70.528050968881715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65.342263258437185</v>
      </c>
      <c r="C21" s="103">
        <v>64.646703344605911</v>
      </c>
      <c r="D21" s="102">
        <v>63.672054942229941</v>
      </c>
      <c r="E21" s="101">
        <v>71.059672356151552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-0.42789172506911832</v>
      </c>
      <c r="C23" s="103">
        <v>-0.138847076444093</v>
      </c>
      <c r="D23" s="102">
        <v>0.43876962396363073</v>
      </c>
      <c r="E23" s="103">
        <v>-0.33069555252860372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9.3078172737570686E-2</v>
      </c>
      <c r="C24" s="108">
        <v>0.12238384490492749</v>
      </c>
      <c r="D24" s="107">
        <v>0.47104009397397339</v>
      </c>
      <c r="E24" s="108">
        <v>0.15158600893390162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96.907847673796624</v>
      </c>
      <c r="C25" s="103">
        <v>98.098662302457399</v>
      </c>
      <c r="D25" s="102">
        <v>96.9551648474215</v>
      </c>
      <c r="E25" s="103">
        <v>101.80385939082781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101.19180608083553</v>
      </c>
      <c r="C26" s="108">
        <v>104.65898595765049</v>
      </c>
      <c r="D26" s="107">
        <v>101.9341223948949</v>
      </c>
      <c r="E26" s="108">
        <v>109.29674887362285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105.02267174309634</v>
      </c>
      <c r="C27" s="103">
        <v>105.2745492790156</v>
      </c>
      <c r="D27" s="102">
        <v>101.72046958709984</v>
      </c>
      <c r="E27" s="103">
        <v>104.63825921899692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98.115246057907754</v>
      </c>
      <c r="C28" s="108">
        <v>99.273094339835438</v>
      </c>
      <c r="D28" s="107">
        <v>96.314695429046509</v>
      </c>
      <c r="E28" s="108">
        <v>98.673102440337686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95.150646782233167</v>
      </c>
      <c r="C30" s="103">
        <v>93.689523771522047</v>
      </c>
      <c r="D30" s="102">
        <v>93.105822485612947</v>
      </c>
      <c r="E30" s="101">
        <v>93.690095846645377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2.1259128030073904</v>
      </c>
      <c r="C31" s="108">
        <v>1.6267365863262939</v>
      </c>
      <c r="D31" s="107">
        <v>2.54778221710249</v>
      </c>
      <c r="E31" s="106">
        <v>1.2562473064257618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0.60082138222999903</v>
      </c>
      <c r="C32" s="103">
        <v>0.57907139858119905</v>
      </c>
      <c r="D32" s="102">
        <v>2.2384648038226818</v>
      </c>
      <c r="E32" s="101">
        <v>0.55723079582449264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90.94100398538005</v>
      </c>
      <c r="C33" s="108">
        <v>93.934761156898446</v>
      </c>
      <c r="D33" s="107">
        <v>92.865387576774694</v>
      </c>
      <c r="E33" s="106">
        <v>95.063273241428064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88.680663695430383</v>
      </c>
      <c r="C34" s="103">
        <v>90.884275071941474</v>
      </c>
      <c r="D34" s="102">
        <v>91.876923795994145</v>
      </c>
      <c r="E34" s="101">
        <v>90.602028096890479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93.361422696354737</v>
      </c>
      <c r="C35" s="108">
        <v>93.511549791636725</v>
      </c>
      <c r="D35" s="107">
        <v>94.670888333927934</v>
      </c>
      <c r="E35" s="106">
        <v>94.464150357742923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81.452279832808529</v>
      </c>
      <c r="C36" s="103">
        <v>83.779772596637443</v>
      </c>
      <c r="D36" s="102">
        <v>83.855666307503625</v>
      </c>
      <c r="E36" s="101">
        <v>84.633136374166938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73.466785267284322</v>
      </c>
      <c r="C38" s="103">
        <v>67.757341810475324</v>
      </c>
      <c r="D38" s="102">
        <v>90.303209142071765</v>
      </c>
      <c r="E38" s="101">
        <v>68.547205823605125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1.0464637388146292</v>
      </c>
      <c r="C39" s="108">
        <v>0.10140273787392351</v>
      </c>
      <c r="D39" s="107">
        <v>9.2482325469735116</v>
      </c>
      <c r="E39" s="106">
        <v>0.52731056681406541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18.720617227782832</v>
      </c>
      <c r="C40" s="103">
        <v>18.549328066473148</v>
      </c>
      <c r="D40" s="102">
        <v>12.053771184956375</v>
      </c>
      <c r="E40" s="101">
        <v>18.393531387799822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56.210739484308689</v>
      </c>
      <c r="C41" s="108">
        <v>64.095729172740675</v>
      </c>
      <c r="D41" s="107">
        <v>70.240267556253883</v>
      </c>
      <c r="E41" s="106">
        <v>81.582556519875709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59.135998480160666</v>
      </c>
      <c r="C42" s="103">
        <v>52.083121805936308</v>
      </c>
      <c r="D42" s="102">
        <v>63.600436314437992</v>
      </c>
      <c r="E42" s="101">
        <v>51.386901708824887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71.905181755160555</v>
      </c>
      <c r="C43" s="108">
        <v>71.633579571567893</v>
      </c>
      <c r="D43" s="107">
        <v>72.862042704061992</v>
      </c>
      <c r="E43" s="106">
        <v>75.155963879214397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74.065648577524414</v>
      </c>
      <c r="C44" s="103">
        <v>72.991065923841774</v>
      </c>
      <c r="D44" s="102">
        <v>78.400458538136903</v>
      </c>
      <c r="E44" s="101">
        <v>76.580284370399625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56.085539230532802</v>
      </c>
      <c r="C45" s="108">
        <v>55.904897487921623</v>
      </c>
      <c r="D45" s="107">
        <v>60.675903080458362</v>
      </c>
      <c r="E45" s="106">
        <v>55.199768410469993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44.564598747865681</v>
      </c>
      <c r="C47" s="103">
        <v>49.921493993100988</v>
      </c>
      <c r="D47" s="102">
        <v>68.075095204300098</v>
      </c>
      <c r="E47" s="101">
        <v>49.984673001825911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3.21937932686851</v>
      </c>
      <c r="C48" s="108">
        <v>2.9966614205295117</v>
      </c>
      <c r="D48" s="107">
        <v>8.5439504278360232</v>
      </c>
      <c r="E48" s="106">
        <v>2.7405783103175207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28.848220328132719</v>
      </c>
      <c r="C49" s="103">
        <v>28.404331981540089</v>
      </c>
      <c r="D49" s="102">
        <v>30.621789759912865</v>
      </c>
      <c r="E49" s="101">
        <v>27.555065099995552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32.581239797092238</v>
      </c>
      <c r="C50" s="108">
        <v>32.233843696713699</v>
      </c>
      <c r="D50" s="107">
        <v>34.484611655840489</v>
      </c>
      <c r="E50" s="106">
        <v>31.360579396125811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36.545172175780351</v>
      </c>
      <c r="C51" s="103">
        <v>36.533530969808929</v>
      </c>
      <c r="D51" s="102">
        <v>42.545891307303194</v>
      </c>
      <c r="E51" s="101">
        <v>35.53904279022678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13.74401053075573</v>
      </c>
      <c r="C53" s="108">
        <v>13.726452149979542</v>
      </c>
      <c r="D53" s="107">
        <v>13.596245811879109</v>
      </c>
      <c r="E53" s="106">
        <v>13.7073940486203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9.9</v>
      </c>
      <c r="C54" s="103">
        <v>10.030027840804912</v>
      </c>
      <c r="D54" s="102">
        <v>9.8556313156987496</v>
      </c>
      <c r="E54" s="101">
        <v>10.160055681609824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2.8364822485981702</v>
      </c>
      <c r="C55" s="98">
        <v>2.7692832930963007</v>
      </c>
      <c r="D55" s="97">
        <v>4.4889089590471833</v>
      </c>
      <c r="E55" s="96">
        <v>2.7025387809855439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Jal</vt:lpstr>
      <vt:lpstr>JAL</vt:lpstr>
      <vt:lpstr>'Est Jal'!Área_de_impresión</vt:lpstr>
      <vt:lpstr>JAL!Área_de_impresión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2022-09-07T17:25:32Z</cp:lastPrinted>
  <dcterms:created xsi:type="dcterms:W3CDTF">2022-09-06T18:54:57Z</dcterms:created>
  <dcterms:modified xsi:type="dcterms:W3CDTF">2022-09-07T19:12:51Z</dcterms:modified>
</cp:coreProperties>
</file>