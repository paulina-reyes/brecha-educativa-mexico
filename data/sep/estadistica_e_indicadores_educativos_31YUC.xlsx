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F91C597C-446E-4C97-8C4D-4CE641706DA6}" xr6:coauthVersionLast="47" xr6:coauthVersionMax="47" xr10:uidLastSave="{00000000-0000-0000-0000-000000000000}"/>
  <bookViews>
    <workbookView xWindow="-120" yWindow="-120" windowWidth="29040" windowHeight="15840" xr2:uid="{F8F78BC7-C0E0-43E6-99D2-38F5EDCFE2FD}"/>
  </bookViews>
  <sheets>
    <sheet name="Est Yuc" sheetId="1" r:id="rId1"/>
    <sheet name="YUC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Yuc'!$A$1:$F$74</definedName>
    <definedName name="_xlnm.Print_Area" localSheetId="1">YUC!$A$1:$F$57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E19" i="1"/>
  <c r="F19" i="1"/>
  <c r="B20" i="1"/>
  <c r="C20" i="1"/>
  <c r="C19" i="1" s="1"/>
  <c r="D20" i="1"/>
  <c r="D19" i="1" s="1"/>
  <c r="E20" i="1"/>
  <c r="F20" i="1"/>
  <c r="F17" i="1" s="1"/>
  <c r="C21" i="1"/>
  <c r="C18" i="1" s="1"/>
  <c r="D21" i="1"/>
  <c r="D18" i="1" s="1"/>
  <c r="D15" i="1" s="1"/>
  <c r="E21" i="1"/>
  <c r="E18" i="1" s="1"/>
  <c r="E15" i="1" s="1"/>
  <c r="F21" i="1"/>
  <c r="F18" i="1" s="1"/>
  <c r="F15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B53" i="1"/>
  <c r="C53" i="1"/>
  <c r="D53" i="1"/>
  <c r="E53" i="1"/>
  <c r="F53" i="1"/>
  <c r="B54" i="1"/>
  <c r="B55" i="1"/>
  <c r="B56" i="1"/>
  <c r="B57" i="1"/>
  <c r="B58" i="1"/>
  <c r="C60" i="1"/>
  <c r="C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F16" i="1" l="1"/>
  <c r="F13" i="1" s="1"/>
  <c r="F14" i="1"/>
  <c r="B19" i="1"/>
  <c r="B59" i="1"/>
  <c r="E16" i="1"/>
  <c r="E13" i="1" s="1"/>
  <c r="D16" i="1"/>
  <c r="D13" i="1" s="1"/>
  <c r="C16" i="1"/>
  <c r="C15" i="1"/>
  <c r="B15" i="1" s="1"/>
  <c r="B18" i="1"/>
  <c r="B17" i="1"/>
  <c r="E14" i="1"/>
  <c r="B60" i="1"/>
  <c r="D14" i="1"/>
  <c r="C14" i="1"/>
  <c r="B14" i="1" s="1"/>
  <c r="B21" i="1"/>
  <c r="C13" i="1" l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<sst xmlns="http://schemas.openxmlformats.org/spreadsheetml/2006/main" count="133" uniqueCount="78">
  <si>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</si>
  <si>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</si>
  <si>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</si>
  <si>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</si>
  <si>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</si>
  <si>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</si>
  <si>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</si>
  <si>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</si>
  <si>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</si>
  <si>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</si>
  <si>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</si>
  <si>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</si>
  <si>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</si>
  <si>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</si>
  <si>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</si>
  <si>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</si>
  <si>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</si>
  <si>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</si>
  <si>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</si>
  <si>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</si>
  <si>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</si>
  <si>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</si>
  <si>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</si>
  <si>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</si>
  <si>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</si>
  <si>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</si>
  <si>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</si>
  <si>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</si>
  <si>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</si>
  <si>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</si>
  <si>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</si>
  <si>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</si>
  <si>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</si>
  <si>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</si>
  <si>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</si>
  <si>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</si>
  <si>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</si>
  <si>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</si>
  <si>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Yucatán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</si>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</sst>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0" borderId="3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3B0362E9-C23E-433F-8868-B35CCAF42D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BACB0E1D-ED88-42F3-90DA-1B8601461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F92DF4E4-57A3-44FA-A07D-2E640D87B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8432-C78C-4FB3-89FE-5B69777B5756}">
  <sheetPr codeName="Hoja1">
    <tabColor rgb="FFD4C19C"/>
    <pageSetUpPr fitToPage="1"/>
  </sheetPr>
  <dimension ref="A1:P124"/>
  <sheetViews>
    <sheetView showGridLines="0" showZeros="0" tabSelected="1" workbookViewId="0">
      <selection activeCell="A9" sqref="A9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4" t="s">
        <v>39</v>
      </c>
      <c r="B7" s="144"/>
      <c r="C7" s="144"/>
      <c r="D7" s="144"/>
      <c r="E7" s="144"/>
      <c r="F7" s="144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4" t="s">
        <v>38</v>
      </c>
      <c r="B8" s="144"/>
      <c r="C8" s="144"/>
      <c r="D8" s="144"/>
      <c r="E8" s="144"/>
      <c r="F8" s="144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5" t="s">
        <v>37</v>
      </c>
      <c r="B11" s="147" t="s">
        <v>36</v>
      </c>
      <c r="C11" s="147"/>
      <c r="D11" s="147"/>
      <c r="E11" s="148" t="s">
        <v>35</v>
      </c>
      <c r="F11" s="148" t="s">
        <v>34</v>
      </c>
    </row>
    <row r="12" spans="1:16" ht="15" customHeight="1" x14ac:dyDescent="0.35">
      <c r="A12" s="146"/>
      <c r="B12" s="83" t="s">
        <v>33</v>
      </c>
      <c r="C12" s="83" t="s">
        <v>32</v>
      </c>
      <c r="D12" s="83" t="s">
        <v>31</v>
      </c>
      <c r="E12" s="146"/>
      <c r="F12" s="146"/>
    </row>
    <row r="13" spans="1:16" ht="18" customHeight="1" x14ac:dyDescent="0.35">
      <c r="A13" s="82" t="s">
        <v>30</v>
      </c>
      <c r="B13" s="81">
        <f t="shared" ref="B13:B44" si="0">C13+D13</f>
        <v>609801</v>
      </c>
      <c r="C13" s="81">
        <f>C16+C62+C68</f>
        <v>304578</v>
      </c>
      <c r="D13" s="81">
        <f>D16+D62+D68</f>
        <v>305223</v>
      </c>
      <c r="E13" s="81">
        <f>E16+E62+E68</f>
        <v>39049</v>
      </c>
      <c r="F13" s="81">
        <f>F16+F62+F68</f>
        <v>4101</v>
      </c>
    </row>
    <row r="14" spans="1:16" ht="18" customHeight="1" x14ac:dyDescent="0.35">
      <c r="A14" s="40" t="s">
        <v>3</v>
      </c>
      <c r="B14" s="39">
        <f t="shared" si="0"/>
        <v>500144</v>
      </c>
      <c r="C14" s="39">
        <f t="shared" ref="C14:F15" si="1">C17+C66+C71</f>
        <v>245373</v>
      </c>
      <c r="D14" s="39">
        <f t="shared" si="1"/>
        <v>254771</v>
      </c>
      <c r="E14" s="39">
        <f t="shared" si="1"/>
        <v>27821</v>
      </c>
      <c r="F14" s="39">
        <f t="shared" si="1"/>
        <v>3229</v>
      </c>
    </row>
    <row r="15" spans="1:16" ht="18" customHeight="1" x14ac:dyDescent="0.35">
      <c r="A15" s="38" t="s">
        <v>2</v>
      </c>
      <c r="B15" s="37">
        <f t="shared" si="0"/>
        <v>109657</v>
      </c>
      <c r="C15" s="37">
        <f t="shared" si="1"/>
        <v>59205</v>
      </c>
      <c r="D15" s="37">
        <f t="shared" si="1"/>
        <v>50452</v>
      </c>
      <c r="E15" s="37">
        <f t="shared" si="1"/>
        <v>11228</v>
      </c>
      <c r="F15" s="37">
        <f t="shared" si="1"/>
        <v>872</v>
      </c>
    </row>
    <row r="16" spans="1:16" ht="18" customHeight="1" x14ac:dyDescent="0.35">
      <c r="A16" s="43" t="s">
        <v>29</v>
      </c>
      <c r="B16" s="42">
        <f t="shared" si="0"/>
        <v>601178</v>
      </c>
      <c r="C16" s="42">
        <f>C17+C18</f>
        <v>299897</v>
      </c>
      <c r="D16" s="42">
        <f>D17+D18</f>
        <v>301281</v>
      </c>
      <c r="E16" s="42">
        <f>E17+E18</f>
        <v>37564</v>
      </c>
      <c r="F16" s="41">
        <f>F17+F18</f>
        <v>4047</v>
      </c>
    </row>
    <row r="17" spans="1:6" ht="18" customHeight="1" x14ac:dyDescent="0.35">
      <c r="A17" s="40" t="s">
        <v>3</v>
      </c>
      <c r="B17" s="39">
        <f t="shared" si="0"/>
        <v>497543</v>
      </c>
      <c r="C17" s="39">
        <f t="shared" ref="C17:F18" si="2">C20+C50+C57</f>
        <v>243986</v>
      </c>
      <c r="D17" s="39">
        <f t="shared" si="2"/>
        <v>253557</v>
      </c>
      <c r="E17" s="39">
        <f t="shared" si="2"/>
        <v>27611</v>
      </c>
      <c r="F17" s="39">
        <f t="shared" si="2"/>
        <v>3216</v>
      </c>
    </row>
    <row r="18" spans="1:6" ht="18" customHeight="1" x14ac:dyDescent="0.35">
      <c r="A18" s="38" t="s">
        <v>2</v>
      </c>
      <c r="B18" s="37">
        <f t="shared" si="0"/>
        <v>103635</v>
      </c>
      <c r="C18" s="37">
        <f t="shared" si="2"/>
        <v>55911</v>
      </c>
      <c r="D18" s="37">
        <f t="shared" si="2"/>
        <v>47724</v>
      </c>
      <c r="E18" s="37">
        <f t="shared" si="2"/>
        <v>9953</v>
      </c>
      <c r="F18" s="37">
        <f t="shared" si="2"/>
        <v>831</v>
      </c>
    </row>
    <row r="19" spans="1:6" ht="18" customHeight="1" x14ac:dyDescent="0.35">
      <c r="A19" s="80" t="s">
        <v>28</v>
      </c>
      <c r="B19" s="79">
        <f t="shared" si="0"/>
        <v>427788</v>
      </c>
      <c r="C19" s="79">
        <f>C20+C21</f>
        <v>209732</v>
      </c>
      <c r="D19" s="79">
        <f>D20+D21</f>
        <v>218056</v>
      </c>
      <c r="E19" s="79">
        <f>E20+E21</f>
        <v>22646</v>
      </c>
      <c r="F19" s="78">
        <f>F20+F21</f>
        <v>3453</v>
      </c>
    </row>
    <row r="20" spans="1:6" ht="18" customHeight="1" x14ac:dyDescent="0.35">
      <c r="A20" s="40" t="s">
        <v>3</v>
      </c>
      <c r="B20" s="39">
        <f t="shared" si="0"/>
        <v>378758</v>
      </c>
      <c r="C20" s="39">
        <f t="shared" ref="C20:F21" si="3">C25+C31+C37+C43</f>
        <v>185465</v>
      </c>
      <c r="D20" s="39">
        <f t="shared" si="3"/>
        <v>193293</v>
      </c>
      <c r="E20" s="39">
        <f t="shared" si="3"/>
        <v>19030</v>
      </c>
      <c r="F20" s="77">
        <f t="shared" si="3"/>
        <v>2835</v>
      </c>
    </row>
    <row r="21" spans="1:6" ht="18" customHeight="1" x14ac:dyDescent="0.35">
      <c r="A21" s="76" t="s">
        <v>2</v>
      </c>
      <c r="B21" s="75">
        <f t="shared" si="0"/>
        <v>49030</v>
      </c>
      <c r="C21" s="75">
        <f t="shared" si="3"/>
        <v>24267</v>
      </c>
      <c r="D21" s="75">
        <f t="shared" si="3"/>
        <v>24763</v>
      </c>
      <c r="E21" s="75">
        <f t="shared" si="3"/>
        <v>3616</v>
      </c>
      <c r="F21" s="74">
        <f t="shared" si="3"/>
        <v>618</v>
      </c>
    </row>
    <row r="22" spans="1:6" ht="18" customHeight="1" x14ac:dyDescent="0.35">
      <c r="A22" s="69" t="s">
        <v>27</v>
      </c>
      <c r="B22" s="68">
        <f t="shared" si="0"/>
        <v>6453</v>
      </c>
      <c r="C22" s="68">
        <f>C23+C24</f>
        <v>3119</v>
      </c>
      <c r="D22" s="68">
        <f>D23+D24</f>
        <v>3334</v>
      </c>
      <c r="E22" s="68">
        <f>E23+E24</f>
        <v>221</v>
      </c>
      <c r="F22" s="67">
        <f>F23+F24</f>
        <v>161</v>
      </c>
    </row>
    <row r="23" spans="1:6" ht="18" customHeight="1" x14ac:dyDescent="0.35">
      <c r="A23" s="72" t="s">
        <v>23</v>
      </c>
      <c r="B23" s="49">
        <f t="shared" si="0"/>
        <v>3483</v>
      </c>
      <c r="C23" s="49">
        <v>1681</v>
      </c>
      <c r="D23" s="49">
        <v>1802</v>
      </c>
      <c r="E23" s="49">
        <v>109</v>
      </c>
      <c r="F23" s="9">
        <v>52</v>
      </c>
    </row>
    <row r="24" spans="1:6" ht="18" customHeight="1" x14ac:dyDescent="0.35">
      <c r="A24" s="73" t="s">
        <v>22</v>
      </c>
      <c r="B24" s="50">
        <f t="shared" si="0"/>
        <v>2970</v>
      </c>
      <c r="C24" s="50">
        <v>1438</v>
      </c>
      <c r="D24" s="50">
        <v>1532</v>
      </c>
      <c r="E24" s="50">
        <v>112</v>
      </c>
      <c r="F24" s="46">
        <v>109</v>
      </c>
    </row>
    <row r="25" spans="1:6" ht="18" customHeight="1" x14ac:dyDescent="0.35">
      <c r="A25" s="34" t="s">
        <v>3</v>
      </c>
      <c r="B25" s="11">
        <f t="shared" si="0"/>
        <v>3522</v>
      </c>
      <c r="C25" s="11">
        <v>1715</v>
      </c>
      <c r="D25" s="11">
        <v>1807</v>
      </c>
      <c r="E25" s="11">
        <v>155</v>
      </c>
      <c r="F25" s="9">
        <v>126</v>
      </c>
    </row>
    <row r="26" spans="1:6" ht="18" customHeight="1" x14ac:dyDescent="0.35">
      <c r="A26" s="58" t="s">
        <v>2</v>
      </c>
      <c r="B26" s="57">
        <f t="shared" si="0"/>
        <v>2931</v>
      </c>
      <c r="C26" s="57">
        <v>1404</v>
      </c>
      <c r="D26" s="57">
        <v>1527</v>
      </c>
      <c r="E26" s="57">
        <v>66</v>
      </c>
      <c r="F26" s="56">
        <v>35</v>
      </c>
    </row>
    <row r="27" spans="1:6" ht="18" customHeight="1" x14ac:dyDescent="0.35">
      <c r="A27" s="69" t="s">
        <v>26</v>
      </c>
      <c r="B27" s="68">
        <f t="shared" si="0"/>
        <v>78684</v>
      </c>
      <c r="C27" s="68">
        <f>C28+C29+C30</f>
        <v>38542</v>
      </c>
      <c r="D27" s="68">
        <f>D28+D29+D30</f>
        <v>40142</v>
      </c>
      <c r="E27" s="68">
        <f>E28+E29+E30</f>
        <v>4007</v>
      </c>
      <c r="F27" s="67">
        <f>F28+F29+F30</f>
        <v>1214</v>
      </c>
    </row>
    <row r="28" spans="1:6" ht="18" customHeight="1" x14ac:dyDescent="0.35">
      <c r="A28" s="72" t="s">
        <v>25</v>
      </c>
      <c r="B28" s="49">
        <f t="shared" si="0"/>
        <v>55223</v>
      </c>
      <c r="C28" s="49">
        <v>27049</v>
      </c>
      <c r="D28" s="49">
        <v>28174</v>
      </c>
      <c r="E28" s="49">
        <v>2818</v>
      </c>
      <c r="F28" s="9">
        <v>677</v>
      </c>
    </row>
    <row r="29" spans="1:6" ht="18" customHeight="1" x14ac:dyDescent="0.35">
      <c r="A29" s="73" t="s">
        <v>22</v>
      </c>
      <c r="B29" s="50">
        <f t="shared" si="0"/>
        <v>21019</v>
      </c>
      <c r="C29" s="50">
        <v>10287</v>
      </c>
      <c r="D29" s="50">
        <v>10732</v>
      </c>
      <c r="E29" s="50">
        <v>942</v>
      </c>
      <c r="F29" s="46">
        <v>276</v>
      </c>
    </row>
    <row r="30" spans="1:6" ht="18" customHeight="1" x14ac:dyDescent="0.35">
      <c r="A30" s="72" t="s">
        <v>21</v>
      </c>
      <c r="B30" s="49">
        <f t="shared" si="0"/>
        <v>2442</v>
      </c>
      <c r="C30" s="49">
        <v>1206</v>
      </c>
      <c r="D30" s="49">
        <v>1236</v>
      </c>
      <c r="E30" s="49">
        <v>247</v>
      </c>
      <c r="F30" s="9">
        <v>261</v>
      </c>
    </row>
    <row r="31" spans="1:6" ht="18" customHeight="1" x14ac:dyDescent="0.35">
      <c r="A31" s="71" t="s">
        <v>3</v>
      </c>
      <c r="B31" s="66">
        <f t="shared" si="0"/>
        <v>69252</v>
      </c>
      <c r="C31" s="66">
        <v>33879</v>
      </c>
      <c r="D31" s="66">
        <v>35373</v>
      </c>
      <c r="E31" s="66">
        <v>3245</v>
      </c>
      <c r="F31" s="70">
        <v>940</v>
      </c>
    </row>
    <row r="32" spans="1:6" ht="18" customHeight="1" x14ac:dyDescent="0.35">
      <c r="A32" s="30" t="s">
        <v>2</v>
      </c>
      <c r="B32" s="44">
        <f t="shared" si="0"/>
        <v>9432</v>
      </c>
      <c r="C32" s="44">
        <v>4663</v>
      </c>
      <c r="D32" s="44">
        <v>4769</v>
      </c>
      <c r="E32" s="44">
        <v>762</v>
      </c>
      <c r="F32" s="27">
        <v>274</v>
      </c>
    </row>
    <row r="33" spans="1:6" ht="18" customHeight="1" x14ac:dyDescent="0.35">
      <c r="A33" s="69" t="s">
        <v>24</v>
      </c>
      <c r="B33" s="68">
        <f t="shared" si="0"/>
        <v>233131</v>
      </c>
      <c r="C33" s="68">
        <f>C34+C35+C36</f>
        <v>113974</v>
      </c>
      <c r="D33" s="68">
        <f>D34+D35+D36</f>
        <v>119157</v>
      </c>
      <c r="E33" s="68">
        <f>E34+E35+E36</f>
        <v>9586</v>
      </c>
      <c r="F33" s="67">
        <f>F34+F35+F36</f>
        <v>1396</v>
      </c>
    </row>
    <row r="34" spans="1:6" ht="18" customHeight="1" x14ac:dyDescent="0.35">
      <c r="A34" s="72" t="s">
        <v>23</v>
      </c>
      <c r="B34" s="49">
        <f t="shared" si="0"/>
        <v>219649</v>
      </c>
      <c r="C34" s="49">
        <v>107579</v>
      </c>
      <c r="D34" s="49">
        <v>112070</v>
      </c>
      <c r="E34" s="49">
        <v>8898</v>
      </c>
      <c r="F34" s="9">
        <v>1134</v>
      </c>
    </row>
    <row r="35" spans="1:6" ht="18" customHeight="1" x14ac:dyDescent="0.35">
      <c r="A35" s="73" t="s">
        <v>22</v>
      </c>
      <c r="B35" s="50">
        <f t="shared" si="0"/>
        <v>12546</v>
      </c>
      <c r="C35" s="50">
        <v>5961</v>
      </c>
      <c r="D35" s="50">
        <v>6585</v>
      </c>
      <c r="E35" s="50">
        <v>567</v>
      </c>
      <c r="F35" s="46">
        <v>144</v>
      </c>
    </row>
    <row r="36" spans="1:6" ht="18" customHeight="1" x14ac:dyDescent="0.35">
      <c r="A36" s="72" t="s">
        <v>21</v>
      </c>
      <c r="B36" s="49">
        <f t="shared" si="0"/>
        <v>936</v>
      </c>
      <c r="C36" s="49">
        <v>434</v>
      </c>
      <c r="D36" s="49">
        <v>502</v>
      </c>
      <c r="E36" s="49">
        <v>121</v>
      </c>
      <c r="F36" s="9">
        <v>118</v>
      </c>
    </row>
    <row r="37" spans="1:6" ht="18" customHeight="1" x14ac:dyDescent="0.35">
      <c r="A37" s="71" t="s">
        <v>3</v>
      </c>
      <c r="B37" s="66">
        <f t="shared" si="0"/>
        <v>208688</v>
      </c>
      <c r="C37" s="66">
        <v>101847</v>
      </c>
      <c r="D37" s="66">
        <v>106841</v>
      </c>
      <c r="E37" s="66">
        <v>8265</v>
      </c>
      <c r="F37" s="70">
        <v>1210</v>
      </c>
    </row>
    <row r="38" spans="1:6" ht="18" customHeight="1" x14ac:dyDescent="0.35">
      <c r="A38" s="30" t="s">
        <v>2</v>
      </c>
      <c r="B38" s="44">
        <f t="shared" si="0"/>
        <v>24443</v>
      </c>
      <c r="C38" s="44">
        <v>12127</v>
      </c>
      <c r="D38" s="44">
        <v>12316</v>
      </c>
      <c r="E38" s="44">
        <v>1321</v>
      </c>
      <c r="F38" s="27">
        <v>186</v>
      </c>
    </row>
    <row r="39" spans="1:6" ht="18" customHeight="1" x14ac:dyDescent="0.35">
      <c r="A39" s="69" t="s">
        <v>20</v>
      </c>
      <c r="B39" s="68">
        <f t="shared" si="0"/>
        <v>109520</v>
      </c>
      <c r="C39" s="68">
        <f>C40+C41+C42</f>
        <v>54097</v>
      </c>
      <c r="D39" s="68">
        <f>D40+D41+D42</f>
        <v>55423</v>
      </c>
      <c r="E39" s="68">
        <f>E40+E41+E42</f>
        <v>8832</v>
      </c>
      <c r="F39" s="67">
        <f>F40+F41+F42</f>
        <v>682</v>
      </c>
    </row>
    <row r="40" spans="1:6" ht="18" customHeight="1" x14ac:dyDescent="0.35">
      <c r="A40" s="61" t="s">
        <v>19</v>
      </c>
      <c r="B40" s="11">
        <f t="shared" si="0"/>
        <v>68100</v>
      </c>
      <c r="C40" s="49">
        <v>33668</v>
      </c>
      <c r="D40" s="49">
        <v>34432</v>
      </c>
      <c r="E40" s="11">
        <v>5963</v>
      </c>
      <c r="F40" s="9">
        <v>399</v>
      </c>
    </row>
    <row r="41" spans="1:6" ht="18" customHeight="1" x14ac:dyDescent="0.35">
      <c r="A41" s="62" t="s">
        <v>18</v>
      </c>
      <c r="B41" s="50">
        <f t="shared" si="0"/>
        <v>12753</v>
      </c>
      <c r="C41" s="50">
        <v>6157</v>
      </c>
      <c r="D41" s="50">
        <v>6596</v>
      </c>
      <c r="E41" s="50">
        <v>733</v>
      </c>
      <c r="F41" s="46">
        <v>193</v>
      </c>
    </row>
    <row r="42" spans="1:6" ht="18" customHeight="1" x14ac:dyDescent="0.35">
      <c r="A42" s="61" t="s">
        <v>17</v>
      </c>
      <c r="B42" s="49">
        <f t="shared" si="0"/>
        <v>28667</v>
      </c>
      <c r="C42" s="49">
        <v>14272</v>
      </c>
      <c r="D42" s="49">
        <v>14395</v>
      </c>
      <c r="E42" s="49">
        <v>2136</v>
      </c>
      <c r="F42" s="9">
        <v>90</v>
      </c>
    </row>
    <row r="43" spans="1:6" ht="18" customHeight="1" x14ac:dyDescent="0.35">
      <c r="A43" s="62" t="s">
        <v>3</v>
      </c>
      <c r="B43" s="66">
        <f t="shared" si="0"/>
        <v>97296</v>
      </c>
      <c r="C43" s="47">
        <v>48024</v>
      </c>
      <c r="D43" s="47">
        <v>49272</v>
      </c>
      <c r="E43" s="47">
        <v>7365</v>
      </c>
      <c r="F43" s="46">
        <v>559</v>
      </c>
    </row>
    <row r="44" spans="1:6" ht="18" customHeight="1" x14ac:dyDescent="0.35">
      <c r="A44" s="30" t="s">
        <v>2</v>
      </c>
      <c r="B44" s="44">
        <f t="shared" si="0"/>
        <v>12224</v>
      </c>
      <c r="C44" s="44">
        <v>6073</v>
      </c>
      <c r="D44" s="44">
        <v>6151</v>
      </c>
      <c r="E44" s="44">
        <v>1467</v>
      </c>
      <c r="F44" s="27">
        <v>123</v>
      </c>
    </row>
    <row r="45" spans="1:6" ht="18" customHeight="1" x14ac:dyDescent="0.35">
      <c r="A45" s="65" t="s">
        <v>16</v>
      </c>
      <c r="B45" s="64">
        <f t="shared" ref="B45:B72" si="4">C45+D45</f>
        <v>89160</v>
      </c>
      <c r="C45" s="64">
        <f>C46+C47+C48+C49</f>
        <v>45962</v>
      </c>
      <c r="D45" s="64">
        <f>D46+D47+D48+D49</f>
        <v>43198</v>
      </c>
      <c r="E45" s="64">
        <f>E46+E47+E48+E49</f>
        <v>6749</v>
      </c>
      <c r="F45" s="63">
        <f>F46+F47+F48+F49</f>
        <v>453</v>
      </c>
    </row>
    <row r="46" spans="1:6" ht="18" customHeight="1" x14ac:dyDescent="0.35">
      <c r="A46" s="61" t="s">
        <v>9</v>
      </c>
      <c r="B46" s="59">
        <f t="shared" si="4"/>
        <v>67633</v>
      </c>
      <c r="C46" s="49">
        <v>35623</v>
      </c>
      <c r="D46" s="49">
        <v>32010</v>
      </c>
      <c r="E46" s="49">
        <v>4234</v>
      </c>
      <c r="F46" s="9">
        <v>396</v>
      </c>
    </row>
    <row r="47" spans="1:6" ht="18" customHeight="1" x14ac:dyDescent="0.35">
      <c r="A47" s="62" t="s">
        <v>8</v>
      </c>
      <c r="B47" s="47">
        <f t="shared" si="4"/>
        <v>16140</v>
      </c>
      <c r="C47" s="50">
        <v>7816</v>
      </c>
      <c r="D47" s="50">
        <v>8324</v>
      </c>
      <c r="E47" s="50">
        <v>1736</v>
      </c>
      <c r="F47" s="46">
        <v>45</v>
      </c>
    </row>
    <row r="48" spans="1:6" ht="18" customHeight="1" x14ac:dyDescent="0.35">
      <c r="A48" s="61" t="s">
        <v>15</v>
      </c>
      <c r="B48" s="11">
        <f t="shared" si="4"/>
        <v>5289</v>
      </c>
      <c r="C48" s="11">
        <v>2462</v>
      </c>
      <c r="D48" s="11">
        <v>2827</v>
      </c>
      <c r="E48" s="11">
        <v>762</v>
      </c>
      <c r="F48" s="9">
        <v>9</v>
      </c>
    </row>
    <row r="49" spans="1:6" ht="18" customHeight="1" x14ac:dyDescent="0.35">
      <c r="A49" s="48" t="s">
        <v>7</v>
      </c>
      <c r="B49" s="47">
        <f t="shared" si="4"/>
        <v>98</v>
      </c>
      <c r="C49" s="50">
        <v>61</v>
      </c>
      <c r="D49" s="60">
        <v>37</v>
      </c>
      <c r="E49" s="47">
        <v>17</v>
      </c>
      <c r="F49" s="46">
        <v>3</v>
      </c>
    </row>
    <row r="50" spans="1:6" ht="18" customHeight="1" x14ac:dyDescent="0.35">
      <c r="A50" s="34" t="s">
        <v>3</v>
      </c>
      <c r="B50" s="59">
        <f t="shared" si="4"/>
        <v>74604</v>
      </c>
      <c r="C50" s="59">
        <v>38174</v>
      </c>
      <c r="D50" s="59">
        <v>36430</v>
      </c>
      <c r="E50" s="59">
        <v>4986</v>
      </c>
      <c r="F50" s="9">
        <v>338</v>
      </c>
    </row>
    <row r="51" spans="1:6" ht="18" customHeight="1" x14ac:dyDescent="0.35">
      <c r="A51" s="58" t="s">
        <v>2</v>
      </c>
      <c r="B51" s="57">
        <f t="shared" si="4"/>
        <v>14556</v>
      </c>
      <c r="C51" s="57">
        <v>7788</v>
      </c>
      <c r="D51" s="57">
        <v>6768</v>
      </c>
      <c r="E51" s="57">
        <v>1763</v>
      </c>
      <c r="F51" s="56">
        <v>115</v>
      </c>
    </row>
    <row r="52" spans="1:6" ht="18" customHeight="1" x14ac:dyDescent="0.35">
      <c r="A52" s="55" t="s">
        <v>14</v>
      </c>
      <c r="B52" s="54">
        <f t="shared" si="4"/>
        <v>84230</v>
      </c>
      <c r="C52" s="54">
        <f>C54+C55+C56</f>
        <v>44203</v>
      </c>
      <c r="D52" s="54">
        <f>D54+D55+D56</f>
        <v>40027</v>
      </c>
      <c r="E52" s="54">
        <f>E54+E55+E56</f>
        <v>8169</v>
      </c>
      <c r="F52" s="53">
        <f>F57+F58</f>
        <v>141</v>
      </c>
    </row>
    <row r="53" spans="1:6" ht="18" customHeight="1" x14ac:dyDescent="0.35">
      <c r="A53" s="48" t="s">
        <v>5</v>
      </c>
      <c r="B53" s="47">
        <f t="shared" si="4"/>
        <v>79298</v>
      </c>
      <c r="C53" s="50">
        <f>C54+C55</f>
        <v>41438</v>
      </c>
      <c r="D53" s="47">
        <f>D54+D55</f>
        <v>37860</v>
      </c>
      <c r="E53" s="47">
        <f>E54+E55</f>
        <v>6633</v>
      </c>
      <c r="F53" s="46">
        <f>F54+F55</f>
        <v>123</v>
      </c>
    </row>
    <row r="54" spans="1:6" ht="18" customHeight="1" x14ac:dyDescent="0.35">
      <c r="A54" s="52" t="s">
        <v>13</v>
      </c>
      <c r="B54" s="11">
        <f t="shared" si="4"/>
        <v>3761</v>
      </c>
      <c r="C54" s="49">
        <v>2834</v>
      </c>
      <c r="D54" s="11">
        <v>927</v>
      </c>
      <c r="E54" s="11">
        <v>398</v>
      </c>
      <c r="F54" s="9">
        <v>15</v>
      </c>
    </row>
    <row r="55" spans="1:6" ht="18" customHeight="1" x14ac:dyDescent="0.35">
      <c r="A55" s="51" t="s">
        <v>12</v>
      </c>
      <c r="B55" s="47">
        <f t="shared" si="4"/>
        <v>75537</v>
      </c>
      <c r="C55" s="50">
        <v>38604</v>
      </c>
      <c r="D55" s="47">
        <v>36933</v>
      </c>
      <c r="E55" s="47">
        <v>6235</v>
      </c>
      <c r="F55" s="46">
        <v>108</v>
      </c>
    </row>
    <row r="56" spans="1:6" ht="18" customHeight="1" x14ac:dyDescent="0.35">
      <c r="A56" s="34" t="s">
        <v>4</v>
      </c>
      <c r="B56" s="11">
        <f t="shared" si="4"/>
        <v>4932</v>
      </c>
      <c r="C56" s="49">
        <v>2765</v>
      </c>
      <c r="D56" s="11">
        <v>2167</v>
      </c>
      <c r="E56" s="11">
        <v>1536</v>
      </c>
      <c r="F56" s="9">
        <v>69</v>
      </c>
    </row>
    <row r="57" spans="1:6" ht="18" customHeight="1" x14ac:dyDescent="0.35">
      <c r="A57" s="48" t="s">
        <v>3</v>
      </c>
      <c r="B57" s="47">
        <f t="shared" si="4"/>
        <v>44181</v>
      </c>
      <c r="C57" s="47">
        <v>20347</v>
      </c>
      <c r="D57" s="47">
        <v>23834</v>
      </c>
      <c r="E57" s="47">
        <v>3595</v>
      </c>
      <c r="F57" s="46">
        <v>43</v>
      </c>
    </row>
    <row r="58" spans="1:6" ht="18" customHeight="1" x14ac:dyDescent="0.35">
      <c r="A58" s="30" t="s">
        <v>2</v>
      </c>
      <c r="B58" s="45">
        <f t="shared" si="4"/>
        <v>40049</v>
      </c>
      <c r="C58" s="44">
        <v>23856</v>
      </c>
      <c r="D58" s="44">
        <v>16193</v>
      </c>
      <c r="E58" s="44">
        <v>4574</v>
      </c>
      <c r="F58" s="27">
        <v>98</v>
      </c>
    </row>
    <row r="59" spans="1:6" ht="18" customHeight="1" x14ac:dyDescent="0.35">
      <c r="A59" s="43" t="s">
        <v>11</v>
      </c>
      <c r="B59" s="42">
        <f t="shared" si="4"/>
        <v>8623</v>
      </c>
      <c r="C59" s="42">
        <f>C60+C61</f>
        <v>4681</v>
      </c>
      <c r="D59" s="42">
        <f>D60+D61</f>
        <v>3942</v>
      </c>
      <c r="E59" s="42">
        <f>E60+E61</f>
        <v>1485</v>
      </c>
      <c r="F59" s="41">
        <f>F60+F61</f>
        <v>54</v>
      </c>
    </row>
    <row r="60" spans="1:6" ht="18" customHeight="1" x14ac:dyDescent="0.35">
      <c r="A60" s="40" t="s">
        <v>3</v>
      </c>
      <c r="B60" s="39">
        <f t="shared" si="4"/>
        <v>2601</v>
      </c>
      <c r="C60" s="39">
        <f t="shared" ref="C60:F61" si="5">C66+C71</f>
        <v>1387</v>
      </c>
      <c r="D60" s="39">
        <f t="shared" si="5"/>
        <v>1214</v>
      </c>
      <c r="E60" s="39">
        <f t="shared" si="5"/>
        <v>210</v>
      </c>
      <c r="F60" s="39">
        <f t="shared" si="5"/>
        <v>13</v>
      </c>
    </row>
    <row r="61" spans="1:6" ht="18" customHeight="1" x14ac:dyDescent="0.35">
      <c r="A61" s="38" t="s">
        <v>2</v>
      </c>
      <c r="B61" s="37">
        <f t="shared" si="4"/>
        <v>6022</v>
      </c>
      <c r="C61" s="37">
        <f t="shared" si="5"/>
        <v>3294</v>
      </c>
      <c r="D61" s="37">
        <f t="shared" si="5"/>
        <v>2728</v>
      </c>
      <c r="E61" s="37">
        <f t="shared" si="5"/>
        <v>1275</v>
      </c>
      <c r="F61" s="37">
        <f t="shared" si="5"/>
        <v>41</v>
      </c>
    </row>
    <row r="62" spans="1:6" x14ac:dyDescent="0.35">
      <c r="A62" s="26" t="s">
        <v>10</v>
      </c>
      <c r="B62" s="25">
        <f t="shared" si="4"/>
        <v>1815</v>
      </c>
      <c r="C62" s="25">
        <f>C63+C64+C65</f>
        <v>902</v>
      </c>
      <c r="D62" s="25">
        <f>D63+D64+D65</f>
        <v>913</v>
      </c>
      <c r="E62" s="25">
        <f>E63+E64+E65</f>
        <v>45</v>
      </c>
      <c r="F62" s="24">
        <f>F66+F67</f>
        <v>5</v>
      </c>
    </row>
    <row r="63" spans="1:6" x14ac:dyDescent="0.35">
      <c r="A63" s="36" t="s">
        <v>9</v>
      </c>
      <c r="B63" s="21">
        <f t="shared" si="4"/>
        <v>1815</v>
      </c>
      <c r="C63" s="22">
        <v>902</v>
      </c>
      <c r="D63" s="21">
        <v>913</v>
      </c>
      <c r="E63" s="20">
        <v>45</v>
      </c>
      <c r="F63" s="19">
        <v>5</v>
      </c>
    </row>
    <row r="64" spans="1:6" x14ac:dyDescent="0.35">
      <c r="A64" s="32" t="s">
        <v>8</v>
      </c>
      <c r="B64" s="35">
        <f t="shared" si="4"/>
        <v>0</v>
      </c>
      <c r="C64" s="35">
        <v>0</v>
      </c>
      <c r="D64" s="35">
        <v>0</v>
      </c>
      <c r="E64" s="14">
        <v>0</v>
      </c>
      <c r="F64" s="13">
        <v>0</v>
      </c>
    </row>
    <row r="65" spans="1:15" x14ac:dyDescent="0.35">
      <c r="A65" s="34" t="s">
        <v>7</v>
      </c>
      <c r="B65" s="29">
        <f t="shared" si="4"/>
        <v>0</v>
      </c>
      <c r="C65" s="29">
        <v>0</v>
      </c>
      <c r="D65" s="29">
        <v>0</v>
      </c>
      <c r="E65" s="33">
        <v>0</v>
      </c>
      <c r="F65" s="9">
        <v>0</v>
      </c>
    </row>
    <row r="66" spans="1:15" x14ac:dyDescent="0.35">
      <c r="A66" s="32" t="s">
        <v>3</v>
      </c>
      <c r="B66" s="15">
        <f t="shared" si="4"/>
        <v>1815</v>
      </c>
      <c r="C66" s="15">
        <v>902</v>
      </c>
      <c r="D66" s="15">
        <v>913</v>
      </c>
      <c r="E66" s="31">
        <v>45</v>
      </c>
      <c r="F66" s="13">
        <v>5</v>
      </c>
    </row>
    <row r="67" spans="1:15" x14ac:dyDescent="0.35">
      <c r="A67" s="30" t="s">
        <v>2</v>
      </c>
      <c r="B67" s="29">
        <f t="shared" si="4"/>
        <v>0</v>
      </c>
      <c r="C67" s="29">
        <v>0</v>
      </c>
      <c r="D67" s="29">
        <v>0</v>
      </c>
      <c r="E67" s="28">
        <v>0</v>
      </c>
      <c r="F67" s="27">
        <v>0</v>
      </c>
    </row>
    <row r="68" spans="1:15" x14ac:dyDescent="0.35">
      <c r="A68" s="26" t="s">
        <v>6</v>
      </c>
      <c r="B68" s="25">
        <f t="shared" si="4"/>
        <v>6808</v>
      </c>
      <c r="C68" s="25">
        <f>C69+C70</f>
        <v>3779</v>
      </c>
      <c r="D68" s="25">
        <f>D69+D70</f>
        <v>3029</v>
      </c>
      <c r="E68" s="25">
        <f>E71+E72</f>
        <v>1440</v>
      </c>
      <c r="F68" s="24">
        <f>F71+F72</f>
        <v>49</v>
      </c>
    </row>
    <row r="69" spans="1:15" x14ac:dyDescent="0.35">
      <c r="A69" s="23" t="s">
        <v>5</v>
      </c>
      <c r="B69" s="21">
        <f t="shared" si="4"/>
        <v>6076</v>
      </c>
      <c r="C69" s="22">
        <v>3340</v>
      </c>
      <c r="D69" s="21">
        <v>2736</v>
      </c>
      <c r="E69" s="20">
        <v>1274</v>
      </c>
      <c r="F69" s="19">
        <v>35</v>
      </c>
      <c r="G69" s="18"/>
    </row>
    <row r="70" spans="1:15" x14ac:dyDescent="0.35">
      <c r="A70" s="17" t="s">
        <v>4</v>
      </c>
      <c r="B70" s="15">
        <f t="shared" si="4"/>
        <v>732</v>
      </c>
      <c r="C70" s="16">
        <v>439</v>
      </c>
      <c r="D70" s="15">
        <v>293</v>
      </c>
      <c r="E70" s="14">
        <v>166</v>
      </c>
      <c r="F70" s="13">
        <v>22</v>
      </c>
    </row>
    <row r="71" spans="1:15" x14ac:dyDescent="0.35">
      <c r="A71" s="12" t="s">
        <v>3</v>
      </c>
      <c r="B71" s="11">
        <f t="shared" si="4"/>
        <v>786</v>
      </c>
      <c r="C71" s="11">
        <v>485</v>
      </c>
      <c r="D71" s="11">
        <v>301</v>
      </c>
      <c r="E71" s="10">
        <v>165</v>
      </c>
      <c r="F71" s="9">
        <v>8</v>
      </c>
    </row>
    <row r="72" spans="1:15" x14ac:dyDescent="0.35">
      <c r="A72" s="8" t="s">
        <v>2</v>
      </c>
      <c r="B72" s="6">
        <f t="shared" si="4"/>
        <v>6022</v>
      </c>
      <c r="C72" s="7">
        <v>3294</v>
      </c>
      <c r="D72" s="6">
        <v>2728</v>
      </c>
      <c r="E72" s="5">
        <v>1275</v>
      </c>
      <c r="F72" s="4">
        <v>41</v>
      </c>
    </row>
    <row r="73" spans="1:15" x14ac:dyDescent="0.35">
      <c r="F73" s="3" t="s">
        <v>1</v>
      </c>
    </row>
    <row r="74" spans="1:15" ht="41.1" customHeight="1" x14ac:dyDescent="0.35">
      <c r="A74" s="143" t="s">
        <v>0</v>
      </c>
      <c r="B74" s="143"/>
      <c r="C74" s="143"/>
      <c r="D74" s="143"/>
      <c r="E74" s="143"/>
      <c r="F74" s="143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0644-8A98-4FD1-BC0F-CE868556DB3A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7" t="s">
        <v>29</v>
      </c>
      <c r="B7" s="137"/>
      <c r="C7" s="137"/>
      <c r="D7" s="137"/>
      <c r="E7" s="137"/>
      <c r="F7" s="137"/>
      <c r="H7" s="2"/>
      <c r="I7" s="2"/>
    </row>
    <row r="8" spans="1:10" s="1" customFormat="1" ht="15.75" customHeight="1" x14ac:dyDescent="0.35">
      <c r="A8" s="137" t="s">
        <v>76</v>
      </c>
      <c r="B8" s="137"/>
      <c r="C8" s="137"/>
      <c r="D8" s="137"/>
      <c r="E8" s="137"/>
      <c r="F8" s="137"/>
      <c r="H8" s="2"/>
      <c r="I8" s="2"/>
    </row>
    <row r="9" spans="1:10" s="1" customFormat="1" ht="3" customHeight="1" x14ac:dyDescent="0.35">
      <c r="A9" s="142"/>
      <c r="B9" s="141"/>
      <c r="C9" s="140"/>
      <c r="D9" s="139"/>
      <c r="E9" s="140"/>
      <c r="F9" s="139"/>
      <c r="H9" s="136"/>
      <c r="I9" s="2"/>
    </row>
    <row r="10" spans="1:10" s="1" customFormat="1" ht="15.75" customHeight="1" x14ac:dyDescent="0.35">
      <c r="A10" s="138" t="s">
        <v>38</v>
      </c>
      <c r="B10" s="138"/>
      <c r="C10" s="137"/>
      <c r="D10" s="137"/>
      <c r="E10" s="137"/>
      <c r="F10" s="137"/>
      <c r="H10" s="136"/>
      <c r="I10" s="2"/>
    </row>
    <row r="11" spans="1:10" ht="18" customHeight="1" x14ac:dyDescent="0.35">
      <c r="A11" s="149" t="s">
        <v>75</v>
      </c>
      <c r="B11" s="135" t="s">
        <v>74</v>
      </c>
      <c r="C11" s="134" t="s">
        <v>73</v>
      </c>
      <c r="D11" s="133"/>
      <c r="E11" s="134" t="s">
        <v>72</v>
      </c>
      <c r="F11" s="133"/>
    </row>
    <row r="12" spans="1:10" ht="21.75" customHeight="1" x14ac:dyDescent="0.35">
      <c r="A12" s="150"/>
      <c r="B12" s="132" t="s">
        <v>71</v>
      </c>
      <c r="C12" s="131" t="s">
        <v>71</v>
      </c>
      <c r="D12" s="129" t="s">
        <v>70</v>
      </c>
      <c r="E12" s="130" t="s">
        <v>71</v>
      </c>
      <c r="F12" s="129" t="s">
        <v>70</v>
      </c>
    </row>
    <row r="13" spans="1:10" x14ac:dyDescent="0.35">
      <c r="A13" s="128" t="s">
        <v>28</v>
      </c>
      <c r="B13" s="127"/>
      <c r="C13" s="126"/>
      <c r="D13" s="126"/>
      <c r="E13" s="125"/>
      <c r="F13" s="124"/>
      <c r="H13" s="87"/>
    </row>
    <row r="14" spans="1:10" x14ac:dyDescent="0.35">
      <c r="A14" s="104" t="s">
        <v>69</v>
      </c>
      <c r="B14" s="103">
        <v>95.149692800168168</v>
      </c>
      <c r="C14" s="103">
        <v>96.570241967091377</v>
      </c>
      <c r="D14" s="102">
        <v>90.548895792070439</v>
      </c>
      <c r="E14" s="101">
        <v>99.631969251847053</v>
      </c>
      <c r="F14" s="100">
        <v>92.175076705359459</v>
      </c>
      <c r="H14" s="87"/>
      <c r="I14" s="87"/>
      <c r="J14" s="87"/>
    </row>
    <row r="15" spans="1:10" x14ac:dyDescent="0.35">
      <c r="A15" s="109" t="s">
        <v>68</v>
      </c>
      <c r="B15" s="108">
        <v>93.82881349348699</v>
      </c>
      <c r="C15" s="108">
        <v>95.19618426812805</v>
      </c>
      <c r="D15" s="107">
        <v>89.822984263753895</v>
      </c>
      <c r="E15" s="106">
        <v>98.214326763490249</v>
      </c>
      <c r="F15" s="105">
        <v>91.436409983971117</v>
      </c>
      <c r="H15" s="87"/>
      <c r="I15" s="87"/>
      <c r="J15" s="87"/>
    </row>
    <row r="16" spans="1:10" x14ac:dyDescent="0.35">
      <c r="A16" s="123" t="s">
        <v>26</v>
      </c>
      <c r="B16" s="122"/>
      <c r="C16" s="122"/>
      <c r="D16" s="122"/>
      <c r="E16" s="122"/>
      <c r="F16" s="121"/>
      <c r="H16" s="87"/>
      <c r="I16" s="87"/>
      <c r="J16" s="87"/>
    </row>
    <row r="17" spans="1:10" x14ac:dyDescent="0.35">
      <c r="A17" s="104" t="s">
        <v>67</v>
      </c>
      <c r="B17" s="103">
        <v>64.996493196801794</v>
      </c>
      <c r="C17" s="103">
        <v>65.340284627307312</v>
      </c>
      <c r="D17" s="102">
        <v>38.580942141638275</v>
      </c>
      <c r="E17" s="101">
        <v>77.171820138180991</v>
      </c>
      <c r="F17" s="100">
        <v>48.361513668823143</v>
      </c>
      <c r="H17" s="87"/>
      <c r="I17" s="87"/>
      <c r="J17" s="87"/>
    </row>
    <row r="18" spans="1:10" x14ac:dyDescent="0.35">
      <c r="A18" s="109" t="s">
        <v>66</v>
      </c>
      <c r="B18" s="108">
        <v>92.641953186247065</v>
      </c>
      <c r="C18" s="108">
        <v>90.943449048152289</v>
      </c>
      <c r="D18" s="107">
        <v>77.998743134706629</v>
      </c>
      <c r="E18" s="106">
        <v>98.669816361539972</v>
      </c>
      <c r="F18" s="105">
        <v>88.525570726115859</v>
      </c>
      <c r="H18" s="87"/>
      <c r="I18" s="87"/>
      <c r="J18" s="87"/>
    </row>
    <row r="19" spans="1:10" x14ac:dyDescent="0.35">
      <c r="A19" s="104" t="s">
        <v>65</v>
      </c>
      <c r="B19" s="103">
        <v>66.476318441383938</v>
      </c>
      <c r="C19" s="103">
        <v>63.220381596223149</v>
      </c>
      <c r="D19" s="102">
        <v>73.121669901048492</v>
      </c>
      <c r="E19" s="101">
        <v>66.466480446927378</v>
      </c>
      <c r="F19" s="100">
        <v>77.265666530891224</v>
      </c>
      <c r="H19" s="87"/>
      <c r="I19" s="87"/>
      <c r="J19" s="87"/>
    </row>
    <row r="20" spans="1:10" x14ac:dyDescent="0.35">
      <c r="A20" s="109" t="s">
        <v>64</v>
      </c>
      <c r="B20" s="108">
        <v>74.710743801652896</v>
      </c>
      <c r="C20" s="108">
        <v>73.17807143791704</v>
      </c>
      <c r="D20" s="107">
        <v>63.307350306076884</v>
      </c>
      <c r="E20" s="106">
        <v>80.745254277009607</v>
      </c>
      <c r="F20" s="105">
        <v>71.448553833817613</v>
      </c>
      <c r="H20" s="87"/>
      <c r="I20" s="87"/>
      <c r="J20" s="87"/>
    </row>
    <row r="21" spans="1:10" x14ac:dyDescent="0.35">
      <c r="A21" s="104" t="s">
        <v>63</v>
      </c>
      <c r="B21" s="103">
        <v>74.986225895316807</v>
      </c>
      <c r="C21" s="103">
        <v>73.535074110764285</v>
      </c>
      <c r="D21" s="102">
        <v>63.672054942229941</v>
      </c>
      <c r="E21" s="101">
        <v>81.138973517693941</v>
      </c>
      <c r="F21" s="100">
        <v>71.858408255034533</v>
      </c>
      <c r="H21" s="87"/>
      <c r="I21" s="87"/>
      <c r="J21" s="87"/>
    </row>
    <row r="22" spans="1:10" x14ac:dyDescent="0.35">
      <c r="A22" s="123" t="s">
        <v>24</v>
      </c>
      <c r="B22" s="122"/>
      <c r="C22" s="122"/>
      <c r="D22" s="122"/>
      <c r="E22" s="122"/>
      <c r="F22" s="121"/>
      <c r="H22" s="87"/>
      <c r="I22" s="87"/>
      <c r="J22" s="87"/>
    </row>
    <row r="23" spans="1:10" x14ac:dyDescent="0.35">
      <c r="A23" s="104" t="s">
        <v>50</v>
      </c>
      <c r="B23" s="103">
        <v>-2.0172242609269864</v>
      </c>
      <c r="C23" s="103">
        <v>-1.535188370486984</v>
      </c>
      <c r="D23" s="102">
        <v>0.43876962396363073</v>
      </c>
      <c r="E23" s="103">
        <v>-1.5396660812154739</v>
      </c>
      <c r="F23" s="100">
        <v>0.39712680772554521</v>
      </c>
      <c r="H23" s="87"/>
      <c r="I23" s="87"/>
      <c r="J23" s="87"/>
    </row>
    <row r="24" spans="1:10" x14ac:dyDescent="0.35">
      <c r="A24" s="109" t="s">
        <v>58</v>
      </c>
      <c r="B24" s="108">
        <v>2.0166947250277456E-2</v>
      </c>
      <c r="C24" s="108">
        <v>2.5556057211495453E-2</v>
      </c>
      <c r="D24" s="107">
        <v>0.47104009397397339</v>
      </c>
      <c r="E24" s="108">
        <v>3.0677553696223381E-2</v>
      </c>
      <c r="F24" s="105">
        <v>0.45218297092196602</v>
      </c>
      <c r="H24" s="87"/>
      <c r="I24" s="87"/>
      <c r="J24" s="87"/>
    </row>
    <row r="25" spans="1:10" x14ac:dyDescent="0.35">
      <c r="A25" s="104" t="s">
        <v>57</v>
      </c>
      <c r="B25" s="103">
        <v>98.921961711053868</v>
      </c>
      <c r="C25" s="103">
        <v>102.05973780240573</v>
      </c>
      <c r="D25" s="102">
        <v>96.9551648474215</v>
      </c>
      <c r="E25" s="103">
        <v>108.46706651537257</v>
      </c>
      <c r="F25" s="100">
        <v>98.150026946338286</v>
      </c>
      <c r="H25" s="87"/>
      <c r="I25" s="87"/>
      <c r="J25" s="87"/>
    </row>
    <row r="26" spans="1:10" x14ac:dyDescent="0.35">
      <c r="A26" s="109" t="s">
        <v>56</v>
      </c>
      <c r="B26" s="108">
        <v>100.18555370300651</v>
      </c>
      <c r="C26" s="108">
        <v>102.02940063773443</v>
      </c>
      <c r="D26" s="107">
        <v>101.9341223948949</v>
      </c>
      <c r="E26" s="108">
        <v>108.994163160038</v>
      </c>
      <c r="F26" s="105">
        <v>103.78941864704068</v>
      </c>
      <c r="H26" s="87"/>
      <c r="I26" s="87"/>
      <c r="J26" s="87"/>
    </row>
    <row r="27" spans="1:10" x14ac:dyDescent="0.35">
      <c r="A27" s="104" t="s">
        <v>62</v>
      </c>
      <c r="B27" s="103">
        <v>104.80016868430823</v>
      </c>
      <c r="C27" s="103">
        <v>107.18962362180106</v>
      </c>
      <c r="D27" s="102">
        <v>101.72046958709984</v>
      </c>
      <c r="E27" s="103">
        <v>108.84596604048239</v>
      </c>
      <c r="F27" s="100">
        <v>101.19578388660526</v>
      </c>
      <c r="H27" s="87"/>
      <c r="I27" s="87"/>
      <c r="J27" s="87"/>
    </row>
    <row r="28" spans="1:10" x14ac:dyDescent="0.35">
      <c r="A28" s="109" t="s">
        <v>61</v>
      </c>
      <c r="B28" s="108">
        <v>96.382913379690962</v>
      </c>
      <c r="C28" s="108">
        <v>98.530993958454033</v>
      </c>
      <c r="D28" s="107">
        <v>96.314695429046509</v>
      </c>
      <c r="E28" s="108">
        <v>100.05343602878176</v>
      </c>
      <c r="F28" s="105">
        <v>95.816612827648669</v>
      </c>
      <c r="H28" s="87"/>
      <c r="I28" s="87"/>
      <c r="J28" s="87"/>
    </row>
    <row r="29" spans="1:10" x14ac:dyDescent="0.35">
      <c r="A29" s="123" t="s">
        <v>20</v>
      </c>
      <c r="B29" s="122"/>
      <c r="C29" s="122"/>
      <c r="D29" s="122"/>
      <c r="E29" s="122"/>
      <c r="F29" s="121"/>
      <c r="H29" s="87"/>
      <c r="I29" s="87"/>
      <c r="J29" s="87"/>
    </row>
    <row r="30" spans="1:10" x14ac:dyDescent="0.35">
      <c r="A30" s="104" t="s">
        <v>51</v>
      </c>
      <c r="B30" s="103">
        <v>97.568970226714015</v>
      </c>
      <c r="C30" s="103">
        <v>96.35485169775869</v>
      </c>
      <c r="D30" s="102">
        <v>93.105822485612947</v>
      </c>
      <c r="E30" s="101">
        <v>96.38742484837249</v>
      </c>
      <c r="F30" s="100">
        <v>95.031628893548429</v>
      </c>
      <c r="H30" s="87"/>
      <c r="I30" s="87"/>
      <c r="J30" s="87"/>
    </row>
    <row r="31" spans="1:10" x14ac:dyDescent="0.35">
      <c r="A31" s="109" t="s">
        <v>50</v>
      </c>
      <c r="B31" s="108">
        <v>-0.85205339286544834</v>
      </c>
      <c r="C31" s="108">
        <v>-0.56062819576332412</v>
      </c>
      <c r="D31" s="107">
        <v>2.54778221710249</v>
      </c>
      <c r="E31" s="106">
        <v>-0.86003418432405443</v>
      </c>
      <c r="F31" s="105">
        <v>2.2918429271874818</v>
      </c>
      <c r="H31" s="87"/>
      <c r="I31" s="87"/>
      <c r="J31" s="87"/>
    </row>
    <row r="32" spans="1:10" x14ac:dyDescent="0.35">
      <c r="A32" s="104" t="s">
        <v>58</v>
      </c>
      <c r="B32" s="103">
        <v>0</v>
      </c>
      <c r="C32" s="103">
        <v>2.5727490742699644E-2</v>
      </c>
      <c r="D32" s="102">
        <v>2.2384648038226818</v>
      </c>
      <c r="E32" s="101">
        <v>1.4610137609238905E-2</v>
      </c>
      <c r="F32" s="100">
        <v>2.1403697727291782</v>
      </c>
      <c r="H32" s="87"/>
      <c r="I32" s="87"/>
      <c r="J32" s="87"/>
    </row>
    <row r="33" spans="1:10" x14ac:dyDescent="0.35">
      <c r="A33" s="109" t="s">
        <v>57</v>
      </c>
      <c r="B33" s="108">
        <v>93.810319728257937</v>
      </c>
      <c r="C33" s="108">
        <v>98.498547865636482</v>
      </c>
      <c r="D33" s="107">
        <v>92.865387576774694</v>
      </c>
      <c r="E33" s="106">
        <v>101.63493840985443</v>
      </c>
      <c r="F33" s="105">
        <v>92.527364626036132</v>
      </c>
      <c r="H33" s="87"/>
      <c r="I33" s="87"/>
      <c r="J33" s="87"/>
    </row>
    <row r="34" spans="1:10" x14ac:dyDescent="0.35">
      <c r="A34" s="104" t="s">
        <v>56</v>
      </c>
      <c r="B34" s="103">
        <v>91.333333333333329</v>
      </c>
      <c r="C34" s="103">
        <v>94.982694390868986</v>
      </c>
      <c r="D34" s="102">
        <v>91.876923795994145</v>
      </c>
      <c r="E34" s="101">
        <v>96.53008588369805</v>
      </c>
      <c r="F34" s="100">
        <v>89.804444151920364</v>
      </c>
      <c r="H34" s="87"/>
      <c r="I34" s="87"/>
      <c r="J34" s="87"/>
    </row>
    <row r="35" spans="1:10" x14ac:dyDescent="0.35">
      <c r="A35" s="109" t="s">
        <v>60</v>
      </c>
      <c r="B35" s="108">
        <v>95.628852773997281</v>
      </c>
      <c r="C35" s="108">
        <v>97.958015437868397</v>
      </c>
      <c r="D35" s="107">
        <v>94.670888333927934</v>
      </c>
      <c r="E35" s="106">
        <v>99.385229325639713</v>
      </c>
      <c r="F35" s="105">
        <v>94.056932269296951</v>
      </c>
      <c r="H35" s="87"/>
      <c r="I35" s="87"/>
      <c r="J35" s="87"/>
    </row>
    <row r="36" spans="1:10" x14ac:dyDescent="0.35">
      <c r="A36" s="104" t="s">
        <v>59</v>
      </c>
      <c r="B36" s="103">
        <v>81.523585870715806</v>
      </c>
      <c r="C36" s="103">
        <v>83.640868313014863</v>
      </c>
      <c r="D36" s="102">
        <v>83.855666307503625</v>
      </c>
      <c r="E36" s="101">
        <v>84.859923962574484</v>
      </c>
      <c r="F36" s="120">
        <v>83.305904438452842</v>
      </c>
      <c r="H36" s="87"/>
      <c r="I36" s="87"/>
      <c r="J36" s="87"/>
    </row>
    <row r="37" spans="1:10" x14ac:dyDescent="0.35">
      <c r="A37" s="119" t="s">
        <v>10</v>
      </c>
      <c r="B37" s="118"/>
      <c r="C37" s="118"/>
      <c r="D37" s="118"/>
      <c r="E37" s="118"/>
      <c r="F37" s="117"/>
      <c r="H37" s="87"/>
      <c r="I37" s="87"/>
      <c r="J37" s="87"/>
    </row>
    <row r="38" spans="1:10" x14ac:dyDescent="0.35">
      <c r="A38" s="104" t="s">
        <v>51</v>
      </c>
      <c r="B38" s="103">
        <v>97.746334399324198</v>
      </c>
      <c r="C38" s="103">
        <v>96.399218345881948</v>
      </c>
      <c r="D38" s="102">
        <v>90.303209142071765</v>
      </c>
      <c r="E38" s="101">
        <v>97.524339360222541</v>
      </c>
      <c r="F38" s="100">
        <v>91.299275514381847</v>
      </c>
      <c r="H38" s="87"/>
      <c r="I38" s="87"/>
      <c r="J38" s="87"/>
    </row>
    <row r="39" spans="1:10" x14ac:dyDescent="0.35">
      <c r="A39" s="109" t="s">
        <v>50</v>
      </c>
      <c r="B39" s="108">
        <v>11.322304995617882</v>
      </c>
      <c r="C39" s="108">
        <v>8.3120233288470189</v>
      </c>
      <c r="D39" s="107">
        <v>9.2482325469735116</v>
      </c>
      <c r="E39" s="106">
        <v>8.6890870130014282</v>
      </c>
      <c r="F39" s="105">
        <v>9.2356339587371004</v>
      </c>
      <c r="H39" s="87"/>
      <c r="I39" s="87"/>
      <c r="J39" s="87"/>
    </row>
    <row r="40" spans="1:10" x14ac:dyDescent="0.35">
      <c r="A40" s="104" t="s">
        <v>58</v>
      </c>
      <c r="B40" s="103">
        <v>17.454304156361221</v>
      </c>
      <c r="C40" s="103">
        <v>17.294065278329185</v>
      </c>
      <c r="D40" s="102">
        <v>12.053771184956375</v>
      </c>
      <c r="E40" s="101">
        <v>17.133844720051616</v>
      </c>
      <c r="F40" s="100">
        <v>11.972895108572123</v>
      </c>
      <c r="H40" s="87"/>
      <c r="I40" s="87"/>
      <c r="J40" s="87"/>
    </row>
    <row r="41" spans="1:10" x14ac:dyDescent="0.35">
      <c r="A41" s="109" t="s">
        <v>57</v>
      </c>
      <c r="B41" s="108">
        <v>68.56137501691704</v>
      </c>
      <c r="C41" s="108">
        <v>75.719908259478444</v>
      </c>
      <c r="D41" s="107">
        <v>70.240267556253883</v>
      </c>
      <c r="E41" s="106">
        <v>73.070156486311305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65.564010974789042</v>
      </c>
      <c r="C42" s="103">
        <v>69.375048641917658</v>
      </c>
      <c r="D42" s="102">
        <v>63.600436314437992</v>
      </c>
      <c r="E42" s="101">
        <v>61.542060933763132</v>
      </c>
      <c r="F42" s="100">
        <v>60.075548708762398</v>
      </c>
      <c r="H42" s="87"/>
      <c r="I42" s="87"/>
      <c r="J42" s="87"/>
    </row>
    <row r="43" spans="1:10" x14ac:dyDescent="0.35">
      <c r="A43" s="109" t="s">
        <v>55</v>
      </c>
      <c r="B43" s="108">
        <v>79.420183933248069</v>
      </c>
      <c r="C43" s="108">
        <v>77.914587575262388</v>
      </c>
      <c r="D43" s="107">
        <v>72.862042704061992</v>
      </c>
      <c r="E43" s="106">
        <v>79.15751173296303</v>
      </c>
      <c r="F43" s="105">
        <v>73.197457862217306</v>
      </c>
      <c r="H43" s="87"/>
      <c r="I43" s="87"/>
      <c r="J43" s="87"/>
    </row>
    <row r="44" spans="1:10" x14ac:dyDescent="0.35">
      <c r="A44" s="104" t="s">
        <v>54</v>
      </c>
      <c r="B44" s="103">
        <v>81.008935640764619</v>
      </c>
      <c r="C44" s="103">
        <v>79.500668513453292</v>
      </c>
      <c r="D44" s="102">
        <v>78.400458538136903</v>
      </c>
      <c r="E44" s="101">
        <v>80.768487106923772</v>
      </c>
      <c r="F44" s="100">
        <v>78.773452915283144</v>
      </c>
      <c r="H44" s="87"/>
      <c r="I44" s="116"/>
      <c r="J44" s="116"/>
    </row>
    <row r="45" spans="1:10" x14ac:dyDescent="0.35">
      <c r="A45" s="109" t="s">
        <v>53</v>
      </c>
      <c r="B45" s="108">
        <v>64.41927035751263</v>
      </c>
      <c r="C45" s="108">
        <v>63.677435704735515</v>
      </c>
      <c r="D45" s="107">
        <v>60.675903080458362</v>
      </c>
      <c r="E45" s="106">
        <v>61.827881387214148</v>
      </c>
      <c r="F45" s="105">
        <v>59.146954254527095</v>
      </c>
      <c r="H45" s="87"/>
      <c r="I45" s="87"/>
      <c r="J45" s="87"/>
    </row>
    <row r="46" spans="1:10" x14ac:dyDescent="0.35">
      <c r="A46" s="115" t="s">
        <v>52</v>
      </c>
      <c r="B46" s="114"/>
      <c r="C46" s="114"/>
      <c r="D46" s="114"/>
      <c r="E46" s="114"/>
      <c r="F46" s="113"/>
      <c r="H46" s="87"/>
      <c r="I46" s="87"/>
      <c r="J46" s="87"/>
    </row>
    <row r="47" spans="1:10" x14ac:dyDescent="0.35">
      <c r="A47" s="104" t="s">
        <v>51</v>
      </c>
      <c r="B47" s="103">
        <v>77.185974256546828</v>
      </c>
      <c r="C47" s="103">
        <v>91.769075749792549</v>
      </c>
      <c r="D47" s="102">
        <v>68.075095204300098</v>
      </c>
      <c r="E47" s="101">
        <v>91.800456569739154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6.2750030103958965</v>
      </c>
      <c r="C48" s="108">
        <v>6.2498423667683873</v>
      </c>
      <c r="D48" s="107">
        <v>8.5439504278360232</v>
      </c>
      <c r="E48" s="106">
        <v>6.2264218305584933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34.122051409455196</v>
      </c>
      <c r="C49" s="103">
        <v>36.17956196227842</v>
      </c>
      <c r="D49" s="102">
        <v>30.621789759912865</v>
      </c>
      <c r="E49" s="101">
        <v>38.366125629655137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38.474526539037683</v>
      </c>
      <c r="C50" s="108">
        <v>40.921241394969606</v>
      </c>
      <c r="D50" s="107">
        <v>34.484611655840489</v>
      </c>
      <c r="E50" s="106">
        <v>43.455708574886096</v>
      </c>
      <c r="F50" s="105">
        <v>34.683476115270743</v>
      </c>
      <c r="H50" s="87"/>
      <c r="I50" s="87"/>
      <c r="J50" s="87"/>
    </row>
    <row r="51" spans="1:10" x14ac:dyDescent="0.35">
      <c r="A51" s="104" t="s">
        <v>47</v>
      </c>
      <c r="B51" s="103">
        <v>41.321726954972945</v>
      </c>
      <c r="C51" s="103">
        <v>44.056723534693624</v>
      </c>
      <c r="D51" s="102">
        <v>42.545891307303194</v>
      </c>
      <c r="E51" s="101">
        <v>46.790300309773642</v>
      </c>
      <c r="F51" s="100">
        <v>42.84947472301657</v>
      </c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14.180340195063962</v>
      </c>
      <c r="C53" s="108">
        <v>14.441485505696626</v>
      </c>
      <c r="D53" s="107">
        <v>13.596245811879109</v>
      </c>
      <c r="E53" s="106">
        <v>14.514579126938401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9.59</v>
      </c>
      <c r="C54" s="103">
        <v>9.7437845341271441</v>
      </c>
      <c r="D54" s="102">
        <v>9.8556313156987496</v>
      </c>
      <c r="E54" s="101">
        <v>9.8975690682542883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5.8654974101797919</v>
      </c>
      <c r="C55" s="98">
        <v>5.7257242676492224</v>
      </c>
      <c r="D55" s="97">
        <v>4.4889089590471833</v>
      </c>
      <c r="E55" s="96">
        <v>5.548798886554108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3.25" customHeight="1" x14ac:dyDescent="0.35">
      <c r="A57" s="151" t="s">
        <v>42</v>
      </c>
      <c r="B57" s="151"/>
      <c r="C57" s="151"/>
      <c r="D57" s="151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Yuc</vt:lpstr>
      <vt:lpstr>YUC</vt:lpstr>
      <vt:lpstr>'Est Yuc'!Área_de_impresión</vt:lpstr>
      <vt:lpstr>YUC!Área_de_impresión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2022-09-07T18:26:36Z</cp:lastPrinted>
  <dcterms:created xsi:type="dcterms:W3CDTF">2022-09-06T19:03:08Z</dcterms:created>
  <dcterms:modified xsi:type="dcterms:W3CDTF">2022-09-07T19:08:10Z</dcterms:modified>
</cp:coreProperties>
</file>