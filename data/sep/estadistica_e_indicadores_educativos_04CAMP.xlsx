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653D8FDA-D9B6-4EAF-9C20-B4F61FB8BCB7}" xr6:coauthVersionLast="47" xr6:coauthVersionMax="47" xr10:uidLastSave="{00000000-0000-0000-0000-000000000000}"/>
  <bookViews>
    <workbookView xWindow="-120" yWindow="-120" windowWidth="29040" windowHeight="15840" xr2:uid="{AB1B46A7-6D1F-440A-8956-849AB672A2EC}"/>
  </bookViews>
  <sheets>
    <sheet name="Est Cam" sheetId="1" r:id="rId1"/>
    <sheet name="CAM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1">CAM!$A$1:$F$57</definedName>
    <definedName name="_xlnm.Print_Area" localSheetId="0">'Est Cam'!$A$1:$F$74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15" i="1"/>
  <c r="D17" i="1"/>
  <c r="E17" i="1"/>
  <c r="F17" i="1"/>
  <c r="C18" i="1"/>
  <c r="D19" i="1"/>
  <c r="B20" i="1"/>
  <c r="C20" i="1"/>
  <c r="C19" i="1" s="1"/>
  <c r="B19" i="1" s="1"/>
  <c r="D20" i="1"/>
  <c r="E20" i="1"/>
  <c r="E19" i="1" s="1"/>
  <c r="F20" i="1"/>
  <c r="C21" i="1"/>
  <c r="D21" i="1"/>
  <c r="D18" i="1" s="1"/>
  <c r="D15" i="1" s="1"/>
  <c r="E21" i="1"/>
  <c r="E18" i="1" s="1"/>
  <c r="E15" i="1" s="1"/>
  <c r="F21" i="1"/>
  <c r="F19" i="1" s="1"/>
  <c r="C22" i="1"/>
  <c r="B22" i="1" s="1"/>
  <c r="D22" i="1"/>
  <c r="E22" i="1"/>
  <c r="F22" i="1"/>
  <c r="B23" i="1"/>
  <c r="B24" i="1"/>
  <c r="B25" i="1"/>
  <c r="B26" i="1"/>
  <c r="C27" i="1"/>
  <c r="D27" i="1"/>
  <c r="B27" i="1" s="1"/>
  <c r="E27" i="1"/>
  <c r="F27" i="1"/>
  <c r="B28" i="1"/>
  <c r="B29" i="1"/>
  <c r="B30" i="1"/>
  <c r="B31" i="1"/>
  <c r="B32" i="1"/>
  <c r="C33" i="1"/>
  <c r="D33" i="1"/>
  <c r="B33" i="1" s="1"/>
  <c r="E33" i="1"/>
  <c r="F33" i="1"/>
  <c r="B34" i="1"/>
  <c r="B35" i="1"/>
  <c r="B36" i="1"/>
  <c r="B37" i="1"/>
  <c r="B38" i="1"/>
  <c r="B39" i="1"/>
  <c r="C39" i="1"/>
  <c r="D39" i="1"/>
  <c r="E39" i="1"/>
  <c r="F39" i="1"/>
  <c r="B40" i="1"/>
  <c r="B41" i="1"/>
  <c r="B42" i="1"/>
  <c r="B43" i="1"/>
  <c r="B44" i="1"/>
  <c r="C45" i="1"/>
  <c r="D45" i="1"/>
  <c r="B45" i="1" s="1"/>
  <c r="E45" i="1"/>
  <c r="F45" i="1"/>
  <c r="B46" i="1"/>
  <c r="B47" i="1"/>
  <c r="B48" i="1"/>
  <c r="B49" i="1"/>
  <c r="B50" i="1"/>
  <c r="B51" i="1"/>
  <c r="B52" i="1"/>
  <c r="C52" i="1"/>
  <c r="D52" i="1"/>
  <c r="E52" i="1"/>
  <c r="F52" i="1"/>
  <c r="C53" i="1"/>
  <c r="D53" i="1"/>
  <c r="B53" i="1" s="1"/>
  <c r="E53" i="1"/>
  <c r="F53" i="1"/>
  <c r="B54" i="1"/>
  <c r="B55" i="1"/>
  <c r="B56" i="1"/>
  <c r="B57" i="1"/>
  <c r="B58" i="1"/>
  <c r="C60" i="1"/>
  <c r="C59" i="1" s="1"/>
  <c r="D60" i="1"/>
  <c r="E60" i="1"/>
  <c r="E59" i="1" s="1"/>
  <c r="F60" i="1"/>
  <c r="F59" i="1" s="1"/>
  <c r="C61" i="1"/>
  <c r="D61" i="1"/>
  <c r="B61" i="1" s="1"/>
  <c r="E61" i="1"/>
  <c r="F61" i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B18" i="1" l="1"/>
  <c r="E16" i="1"/>
  <c r="E13" i="1" s="1"/>
  <c r="D16" i="1"/>
  <c r="D13" i="1" s="1"/>
  <c r="B15" i="1"/>
  <c r="C17" i="1"/>
  <c r="F14" i="1"/>
  <c r="E14" i="1"/>
  <c r="B60" i="1"/>
  <c r="F18" i="1"/>
  <c r="F15" i="1" s="1"/>
  <c r="D59" i="1"/>
  <c r="B59" i="1" s="1"/>
  <c r="B21" i="1"/>
  <c r="C16" i="1" l="1"/>
  <c r="C14" i="1"/>
  <c r="B14" i="1" s="1"/>
  <c r="B17" i="1"/>
  <c r="F16" i="1"/>
  <c r="F13" i="1" s="1"/>
  <c r="C13" i="1" l="1"/>
  <c r="B13" i="1" s="1"/>
  <c r="B16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<sst xmlns="http://schemas.openxmlformats.org/spreadsheetml/2006/main" count="133" uniqueCount="78">
  <si>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</si>
  <si>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</si>
  <si>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</si>
  <si>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</si>
  <si>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</si>
  <si>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</si>
  <si>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</si>
  <si>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</si>
  <si>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</si>
  <si>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</si>
  <si>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</si>
  <si>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</si>
  <si>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</si>
  <si>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</si>
  <si>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</si>
  <si>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</si>
  <si>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</si>
  <si>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</si>
  <si>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</si>
  <si>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</si>
  <si>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</si>
  <si>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</si>
  <si>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</si>
  <si>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</si>
  <si>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</si>
  <si>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</si>
  <si>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</si>
  <si>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</si>
  <si>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</si>
  <si>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</si>
  <si>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</si>
  <si>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</si>
  <si>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</si>
  <si>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</si>
  <si>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</si>
  <si>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</si>
  <si>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</si>
  <si>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</si>
  <si>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Campeche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</si>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</sst>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0" borderId="3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5" xfId="1" applyNumberFormat="1" applyFont="1" applyFill="1" applyBorder="1" applyAlignment="1">
      <alignment horizontal="center" vertical="center"/>
    </xf>
    <xf numFmtId="3" fontId="7" fillId="7" borderId="7" xfId="1" applyNumberFormat="1" applyFont="1" applyFill="1" applyBorder="1" applyAlignment="1">
      <alignment horizontal="center" vertical="center"/>
    </xf>
    <xf numFmtId="3" fontId="7" fillId="7" borderId="7" xfId="0" applyNumberFormat="1" applyFont="1" applyFill="1" applyBorder="1" applyAlignment="1">
      <alignment horizontal="center"/>
    </xf>
    <xf numFmtId="3" fontId="7" fillId="7" borderId="7" xfId="1" applyNumberFormat="1" applyFont="1" applyFill="1" applyBorder="1" applyAlignment="1">
      <alignment horizontal="center"/>
    </xf>
    <xf numFmtId="3" fontId="7" fillId="7" borderId="7" xfId="1" quotePrefix="1" applyNumberFormat="1" applyFont="1" applyFill="1" applyBorder="1" applyAlignment="1">
      <alignment horizontal="center" vertical="center"/>
    </xf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167" fontId="14" fillId="0" borderId="0" xfId="0" applyNumberFormat="1" applyFont="1"/>
    <xf numFmtId="167" fontId="14" fillId="0" borderId="0" xfId="0" quotePrefix="1" applyNumberFormat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167" fontId="2" fillId="0" borderId="0" xfId="0" applyNumberFormat="1" applyFont="1"/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F10BA759-4714-4EC6-B3D6-47C03A8212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B7CD673C-5200-4537-9914-74CA10EE4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426D8401-D9C3-4B60-A0E7-CADC25BA3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5E3A-86AC-4397-8AB3-B1BC31C71BB4}">
  <sheetPr codeName="Hoja1">
    <tabColor rgb="FFD4C19C"/>
    <pageSetUpPr fitToPage="1"/>
  </sheetPr>
  <dimension ref="A1:P124"/>
  <sheetViews>
    <sheetView showGridLines="0" showZeros="0" tabSelected="1" zoomScale="115" zoomScaleNormal="115" workbookViewId="0">
      <selection activeCell="A11" sqref="A11:A12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90" t="s">
        <v>41</v>
      </c>
    </row>
    <row r="3" spans="1:16" x14ac:dyDescent="0.35">
      <c r="F3" s="90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8" customFormat="1" ht="15.75" customHeight="1" x14ac:dyDescent="0.35">
      <c r="A7" s="150" t="s">
        <v>39</v>
      </c>
      <c r="B7" s="150"/>
      <c r="C7" s="150"/>
      <c r="D7" s="150"/>
      <c r="E7" s="150"/>
      <c r="F7" s="150"/>
      <c r="H7"/>
      <c r="I7"/>
      <c r="J7"/>
      <c r="K7"/>
      <c r="L7"/>
      <c r="M7"/>
      <c r="N7"/>
      <c r="O7"/>
      <c r="P7" s="2"/>
    </row>
    <row r="8" spans="1:16" s="88" customFormat="1" ht="15.75" customHeight="1" x14ac:dyDescent="0.35">
      <c r="A8" s="150" t="s">
        <v>38</v>
      </c>
      <c r="B8" s="150"/>
      <c r="C8" s="150"/>
      <c r="D8" s="150"/>
      <c r="E8" s="150"/>
      <c r="F8" s="150"/>
      <c r="H8"/>
      <c r="I8"/>
      <c r="J8"/>
      <c r="K8"/>
      <c r="L8"/>
      <c r="M8"/>
      <c r="N8"/>
      <c r="O8"/>
      <c r="P8" s="2"/>
    </row>
    <row r="9" spans="1:16" s="88" customFormat="1" ht="15.75" customHeight="1" x14ac:dyDescent="0.35">
      <c r="A9" s="89" t="s">
        <v>77</v>
      </c>
      <c r="B9" s="89"/>
      <c r="C9" s="89"/>
      <c r="D9" s="89"/>
      <c r="E9" s="89"/>
      <c r="F9" s="89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51" t="s">
        <v>37</v>
      </c>
      <c r="B11" s="153" t="s">
        <v>36</v>
      </c>
      <c r="C11" s="153"/>
      <c r="D11" s="153"/>
      <c r="E11" s="154" t="s">
        <v>35</v>
      </c>
      <c r="F11" s="154" t="s">
        <v>34</v>
      </c>
    </row>
    <row r="12" spans="1:16" ht="15" customHeight="1" x14ac:dyDescent="0.35">
      <c r="A12" s="152"/>
      <c r="B12" s="87" t="s">
        <v>33</v>
      </c>
      <c r="C12" s="87" t="s">
        <v>32</v>
      </c>
      <c r="D12" s="87" t="s">
        <v>31</v>
      </c>
      <c r="E12" s="152"/>
      <c r="F12" s="152"/>
    </row>
    <row r="13" spans="1:16" ht="18" customHeight="1" x14ac:dyDescent="0.35">
      <c r="A13" s="86" t="s">
        <v>30</v>
      </c>
      <c r="B13" s="85">
        <f t="shared" ref="B13:B44" si="0">C13+D13</f>
        <v>257125</v>
      </c>
      <c r="C13" s="85">
        <f>C16+C62+C68</f>
        <v>128870</v>
      </c>
      <c r="D13" s="85">
        <f>D16+D62+D68</f>
        <v>128255</v>
      </c>
      <c r="E13" s="85">
        <f>E16+E62+E68</f>
        <v>15967</v>
      </c>
      <c r="F13" s="85">
        <f>F16+F62+F68</f>
        <v>2229</v>
      </c>
    </row>
    <row r="14" spans="1:16" ht="18" customHeight="1" x14ac:dyDescent="0.35">
      <c r="A14" s="40" t="s">
        <v>3</v>
      </c>
      <c r="B14" s="39">
        <f t="shared" si="0"/>
        <v>226317</v>
      </c>
      <c r="C14" s="39">
        <f t="shared" ref="C14:F15" si="1">C17+C66+C71</f>
        <v>112062</v>
      </c>
      <c r="D14" s="39">
        <f t="shared" si="1"/>
        <v>114255</v>
      </c>
      <c r="E14" s="39">
        <f t="shared" si="1"/>
        <v>12877</v>
      </c>
      <c r="F14" s="39">
        <f t="shared" si="1"/>
        <v>1944</v>
      </c>
    </row>
    <row r="15" spans="1:16" ht="18" customHeight="1" x14ac:dyDescent="0.35">
      <c r="A15" s="38" t="s">
        <v>2</v>
      </c>
      <c r="B15" s="37">
        <f t="shared" si="0"/>
        <v>30808</v>
      </c>
      <c r="C15" s="37">
        <f t="shared" si="1"/>
        <v>16808</v>
      </c>
      <c r="D15" s="37">
        <f t="shared" si="1"/>
        <v>14000</v>
      </c>
      <c r="E15" s="37">
        <f t="shared" si="1"/>
        <v>3090</v>
      </c>
      <c r="F15" s="37">
        <f t="shared" si="1"/>
        <v>285</v>
      </c>
    </row>
    <row r="16" spans="1:16" ht="18" customHeight="1" x14ac:dyDescent="0.35">
      <c r="A16" s="43" t="s">
        <v>29</v>
      </c>
      <c r="B16" s="42">
        <f t="shared" si="0"/>
        <v>242577</v>
      </c>
      <c r="C16" s="42">
        <f>C17+C18</f>
        <v>120378</v>
      </c>
      <c r="D16" s="42">
        <f>D17+D18</f>
        <v>122199</v>
      </c>
      <c r="E16" s="42">
        <f>E17+E18</f>
        <v>15044</v>
      </c>
      <c r="F16" s="41">
        <f>F17+F18</f>
        <v>2189</v>
      </c>
    </row>
    <row r="17" spans="1:6" ht="18" customHeight="1" x14ac:dyDescent="0.35">
      <c r="A17" s="40" t="s">
        <v>3</v>
      </c>
      <c r="B17" s="39">
        <f t="shared" si="0"/>
        <v>223369</v>
      </c>
      <c r="C17" s="39">
        <f t="shared" ref="C17:F18" si="2">C20+C50+C57</f>
        <v>110493</v>
      </c>
      <c r="D17" s="39">
        <f t="shared" si="2"/>
        <v>112876</v>
      </c>
      <c r="E17" s="39">
        <f t="shared" si="2"/>
        <v>12701</v>
      </c>
      <c r="F17" s="39">
        <f t="shared" si="2"/>
        <v>1926</v>
      </c>
    </row>
    <row r="18" spans="1:6" ht="18" customHeight="1" x14ac:dyDescent="0.35">
      <c r="A18" s="38" t="s">
        <v>2</v>
      </c>
      <c r="B18" s="37">
        <f t="shared" si="0"/>
        <v>19208</v>
      </c>
      <c r="C18" s="37">
        <f t="shared" si="2"/>
        <v>9885</v>
      </c>
      <c r="D18" s="37">
        <f t="shared" si="2"/>
        <v>9323</v>
      </c>
      <c r="E18" s="37">
        <f t="shared" si="2"/>
        <v>2343</v>
      </c>
      <c r="F18" s="37">
        <f t="shared" si="2"/>
        <v>263</v>
      </c>
    </row>
    <row r="19" spans="1:6" ht="18" customHeight="1" x14ac:dyDescent="0.35">
      <c r="A19" s="84" t="s">
        <v>28</v>
      </c>
      <c r="B19" s="83">
        <f t="shared" si="0"/>
        <v>178346</v>
      </c>
      <c r="C19" s="83">
        <f>C20+C21</f>
        <v>87721</v>
      </c>
      <c r="D19" s="83">
        <f>D20+D21</f>
        <v>90625</v>
      </c>
      <c r="E19" s="83">
        <f>E20+E21</f>
        <v>9231</v>
      </c>
      <c r="F19" s="82">
        <f>F20+F21</f>
        <v>1967</v>
      </c>
    </row>
    <row r="20" spans="1:6" ht="18" customHeight="1" x14ac:dyDescent="0.35">
      <c r="A20" s="40" t="s">
        <v>3</v>
      </c>
      <c r="B20" s="39">
        <f t="shared" si="0"/>
        <v>164912</v>
      </c>
      <c r="C20" s="39">
        <f t="shared" ref="C20:F21" si="3">C25+C31+C37+C43</f>
        <v>81128</v>
      </c>
      <c r="D20" s="39">
        <f t="shared" si="3"/>
        <v>83784</v>
      </c>
      <c r="E20" s="39">
        <f t="shared" si="3"/>
        <v>8051</v>
      </c>
      <c r="F20" s="81">
        <f t="shared" si="3"/>
        <v>1772</v>
      </c>
    </row>
    <row r="21" spans="1:6" ht="18" customHeight="1" x14ac:dyDescent="0.35">
      <c r="A21" s="80" t="s">
        <v>2</v>
      </c>
      <c r="B21" s="79">
        <f t="shared" si="0"/>
        <v>13434</v>
      </c>
      <c r="C21" s="79">
        <f t="shared" si="3"/>
        <v>6593</v>
      </c>
      <c r="D21" s="79">
        <f t="shared" si="3"/>
        <v>6841</v>
      </c>
      <c r="E21" s="79">
        <f t="shared" si="3"/>
        <v>1180</v>
      </c>
      <c r="F21" s="78">
        <f t="shared" si="3"/>
        <v>195</v>
      </c>
    </row>
    <row r="22" spans="1:6" ht="18" customHeight="1" x14ac:dyDescent="0.35">
      <c r="A22" s="73" t="s">
        <v>27</v>
      </c>
      <c r="B22" s="72">
        <f t="shared" si="0"/>
        <v>3143</v>
      </c>
      <c r="C22" s="72">
        <f>C23+C24</f>
        <v>1541</v>
      </c>
      <c r="D22" s="72">
        <f>D23+D24</f>
        <v>1602</v>
      </c>
      <c r="E22" s="72">
        <f>E23+E24</f>
        <v>170</v>
      </c>
      <c r="F22" s="71">
        <f>F23+F24</f>
        <v>146</v>
      </c>
    </row>
    <row r="23" spans="1:6" ht="18" customHeight="1" x14ac:dyDescent="0.35">
      <c r="A23" s="76" t="s">
        <v>23</v>
      </c>
      <c r="B23" s="49">
        <f t="shared" si="0"/>
        <v>692</v>
      </c>
      <c r="C23" s="49">
        <v>351</v>
      </c>
      <c r="D23" s="49">
        <v>341</v>
      </c>
      <c r="E23" s="49">
        <v>29</v>
      </c>
      <c r="F23" s="9">
        <v>21</v>
      </c>
    </row>
    <row r="24" spans="1:6" ht="18" customHeight="1" x14ac:dyDescent="0.35">
      <c r="A24" s="77" t="s">
        <v>22</v>
      </c>
      <c r="B24" s="50">
        <f t="shared" si="0"/>
        <v>2451</v>
      </c>
      <c r="C24" s="50">
        <v>1190</v>
      </c>
      <c r="D24" s="50">
        <v>1261</v>
      </c>
      <c r="E24" s="50">
        <v>141</v>
      </c>
      <c r="F24" s="46">
        <v>125</v>
      </c>
    </row>
    <row r="25" spans="1:6" ht="18" customHeight="1" x14ac:dyDescent="0.35">
      <c r="A25" s="34" t="s">
        <v>3</v>
      </c>
      <c r="B25" s="11">
        <f t="shared" si="0"/>
        <v>2773</v>
      </c>
      <c r="C25" s="11">
        <v>1348</v>
      </c>
      <c r="D25" s="11">
        <v>1425</v>
      </c>
      <c r="E25" s="11">
        <v>166</v>
      </c>
      <c r="F25" s="9">
        <v>133</v>
      </c>
    </row>
    <row r="26" spans="1:6" ht="18" customHeight="1" x14ac:dyDescent="0.35">
      <c r="A26" s="58" t="s">
        <v>2</v>
      </c>
      <c r="B26" s="57">
        <f t="shared" si="0"/>
        <v>370</v>
      </c>
      <c r="C26" s="57">
        <v>193</v>
      </c>
      <c r="D26" s="57">
        <v>177</v>
      </c>
      <c r="E26" s="57">
        <v>4</v>
      </c>
      <c r="F26" s="56">
        <v>13</v>
      </c>
    </row>
    <row r="27" spans="1:6" ht="18" customHeight="1" x14ac:dyDescent="0.35">
      <c r="A27" s="73" t="s">
        <v>26</v>
      </c>
      <c r="B27" s="72">
        <f t="shared" si="0"/>
        <v>31435</v>
      </c>
      <c r="C27" s="72">
        <f>C28+C29+C30</f>
        <v>15528</v>
      </c>
      <c r="D27" s="72">
        <f>D28+D29+D30</f>
        <v>15907</v>
      </c>
      <c r="E27" s="72">
        <f>E28+E29+E30</f>
        <v>1824</v>
      </c>
      <c r="F27" s="71">
        <f>F28+F29+F30</f>
        <v>703</v>
      </c>
    </row>
    <row r="28" spans="1:6" ht="18" customHeight="1" x14ac:dyDescent="0.35">
      <c r="A28" s="76" t="s">
        <v>25</v>
      </c>
      <c r="B28" s="49">
        <f t="shared" si="0"/>
        <v>24394</v>
      </c>
      <c r="C28" s="49">
        <v>12055</v>
      </c>
      <c r="D28" s="49">
        <v>12339</v>
      </c>
      <c r="E28" s="49">
        <v>1395</v>
      </c>
      <c r="F28" s="9">
        <v>419</v>
      </c>
    </row>
    <row r="29" spans="1:6" ht="18" customHeight="1" x14ac:dyDescent="0.35">
      <c r="A29" s="77" t="s">
        <v>22</v>
      </c>
      <c r="B29" s="50">
        <f t="shared" si="0"/>
        <v>5263</v>
      </c>
      <c r="C29" s="50">
        <v>2583</v>
      </c>
      <c r="D29" s="50">
        <v>2680</v>
      </c>
      <c r="E29" s="50">
        <v>253</v>
      </c>
      <c r="F29" s="46">
        <v>119</v>
      </c>
    </row>
    <row r="30" spans="1:6" ht="18" customHeight="1" x14ac:dyDescent="0.35">
      <c r="A30" s="76" t="s">
        <v>21</v>
      </c>
      <c r="B30" s="49">
        <f t="shared" si="0"/>
        <v>1778</v>
      </c>
      <c r="C30" s="49">
        <v>890</v>
      </c>
      <c r="D30" s="49">
        <v>888</v>
      </c>
      <c r="E30" s="49">
        <v>176</v>
      </c>
      <c r="F30" s="9">
        <v>165</v>
      </c>
    </row>
    <row r="31" spans="1:6" ht="18" customHeight="1" x14ac:dyDescent="0.35">
      <c r="A31" s="75" t="s">
        <v>3</v>
      </c>
      <c r="B31" s="70">
        <f t="shared" si="0"/>
        <v>29626</v>
      </c>
      <c r="C31" s="70">
        <v>14651</v>
      </c>
      <c r="D31" s="70">
        <v>14975</v>
      </c>
      <c r="E31" s="70">
        <v>1628</v>
      </c>
      <c r="F31" s="74">
        <v>627</v>
      </c>
    </row>
    <row r="32" spans="1:6" ht="18" customHeight="1" x14ac:dyDescent="0.35">
      <c r="A32" s="30" t="s">
        <v>2</v>
      </c>
      <c r="B32" s="44">
        <f t="shared" si="0"/>
        <v>1809</v>
      </c>
      <c r="C32" s="44">
        <v>877</v>
      </c>
      <c r="D32" s="44">
        <v>932</v>
      </c>
      <c r="E32" s="44">
        <v>196</v>
      </c>
      <c r="F32" s="27">
        <v>76</v>
      </c>
    </row>
    <row r="33" spans="1:6" ht="18" customHeight="1" x14ac:dyDescent="0.35">
      <c r="A33" s="73" t="s">
        <v>24</v>
      </c>
      <c r="B33" s="72">
        <f t="shared" si="0"/>
        <v>98844</v>
      </c>
      <c r="C33" s="72">
        <f>C34+C35+C36</f>
        <v>48688</v>
      </c>
      <c r="D33" s="72">
        <f>D34+D35+D36</f>
        <v>50156</v>
      </c>
      <c r="E33" s="72">
        <f>E34+E35+E36</f>
        <v>4285</v>
      </c>
      <c r="F33" s="71">
        <f>F34+F35+F36</f>
        <v>760</v>
      </c>
    </row>
    <row r="34" spans="1:6" ht="18" customHeight="1" x14ac:dyDescent="0.35">
      <c r="A34" s="76" t="s">
        <v>23</v>
      </c>
      <c r="B34" s="49">
        <f t="shared" si="0"/>
        <v>95484</v>
      </c>
      <c r="C34" s="49">
        <v>47002</v>
      </c>
      <c r="D34" s="49">
        <v>48482</v>
      </c>
      <c r="E34" s="49">
        <v>4076</v>
      </c>
      <c r="F34" s="9">
        <v>640</v>
      </c>
    </row>
    <row r="35" spans="1:6" ht="18" customHeight="1" x14ac:dyDescent="0.35">
      <c r="A35" s="77" t="s">
        <v>22</v>
      </c>
      <c r="B35" s="50">
        <f t="shared" si="0"/>
        <v>2670</v>
      </c>
      <c r="C35" s="50">
        <v>1341</v>
      </c>
      <c r="D35" s="50">
        <v>1329</v>
      </c>
      <c r="E35" s="50">
        <v>135</v>
      </c>
      <c r="F35" s="46">
        <v>51</v>
      </c>
    </row>
    <row r="36" spans="1:6" ht="18" customHeight="1" x14ac:dyDescent="0.35">
      <c r="A36" s="76" t="s">
        <v>21</v>
      </c>
      <c r="B36" s="49">
        <f t="shared" si="0"/>
        <v>690</v>
      </c>
      <c r="C36" s="49">
        <v>345</v>
      </c>
      <c r="D36" s="49">
        <v>345</v>
      </c>
      <c r="E36" s="49">
        <v>74</v>
      </c>
      <c r="F36" s="9">
        <v>69</v>
      </c>
    </row>
    <row r="37" spans="1:6" ht="18" customHeight="1" x14ac:dyDescent="0.35">
      <c r="A37" s="75" t="s">
        <v>3</v>
      </c>
      <c r="B37" s="70">
        <f t="shared" si="0"/>
        <v>92013</v>
      </c>
      <c r="C37" s="70">
        <v>45348</v>
      </c>
      <c r="D37" s="70">
        <v>46665</v>
      </c>
      <c r="E37" s="70">
        <v>3835</v>
      </c>
      <c r="F37" s="74">
        <v>699</v>
      </c>
    </row>
    <row r="38" spans="1:6" ht="18" customHeight="1" x14ac:dyDescent="0.35">
      <c r="A38" s="30" t="s">
        <v>2</v>
      </c>
      <c r="B38" s="44">
        <f t="shared" si="0"/>
        <v>6831</v>
      </c>
      <c r="C38" s="44">
        <v>3340</v>
      </c>
      <c r="D38" s="44">
        <v>3491</v>
      </c>
      <c r="E38" s="44">
        <v>450</v>
      </c>
      <c r="F38" s="27">
        <v>61</v>
      </c>
    </row>
    <row r="39" spans="1:6" ht="18" customHeight="1" x14ac:dyDescent="0.35">
      <c r="A39" s="73" t="s">
        <v>20</v>
      </c>
      <c r="B39" s="72">
        <f t="shared" si="0"/>
        <v>44924</v>
      </c>
      <c r="C39" s="72">
        <f>C40+C41+C42</f>
        <v>21964</v>
      </c>
      <c r="D39" s="72">
        <f>D40+D41+D42</f>
        <v>22960</v>
      </c>
      <c r="E39" s="72">
        <f>E40+E41+E42</f>
        <v>2952</v>
      </c>
      <c r="F39" s="71">
        <f>F40+F41+F42</f>
        <v>358</v>
      </c>
    </row>
    <row r="40" spans="1:6" ht="18" customHeight="1" x14ac:dyDescent="0.35">
      <c r="A40" s="65" t="s">
        <v>19</v>
      </c>
      <c r="B40" s="11">
        <f t="shared" si="0"/>
        <v>16994</v>
      </c>
      <c r="C40" s="49">
        <v>8462</v>
      </c>
      <c r="D40" s="49">
        <v>8532</v>
      </c>
      <c r="E40" s="11">
        <v>1311</v>
      </c>
      <c r="F40" s="9">
        <v>148</v>
      </c>
    </row>
    <row r="41" spans="1:6" ht="18" customHeight="1" x14ac:dyDescent="0.35">
      <c r="A41" s="66" t="s">
        <v>18</v>
      </c>
      <c r="B41" s="50">
        <f t="shared" si="0"/>
        <v>8515</v>
      </c>
      <c r="C41" s="50">
        <v>4049</v>
      </c>
      <c r="D41" s="50">
        <v>4466</v>
      </c>
      <c r="E41" s="50">
        <v>492</v>
      </c>
      <c r="F41" s="46">
        <v>156</v>
      </c>
    </row>
    <row r="42" spans="1:6" ht="18" customHeight="1" x14ac:dyDescent="0.35">
      <c r="A42" s="65" t="s">
        <v>17</v>
      </c>
      <c r="B42" s="49">
        <f t="shared" si="0"/>
        <v>19415</v>
      </c>
      <c r="C42" s="49">
        <v>9453</v>
      </c>
      <c r="D42" s="49">
        <v>9962</v>
      </c>
      <c r="E42" s="49">
        <v>1149</v>
      </c>
      <c r="F42" s="9">
        <v>54</v>
      </c>
    </row>
    <row r="43" spans="1:6" ht="18" customHeight="1" x14ac:dyDescent="0.35">
      <c r="A43" s="66" t="s">
        <v>3</v>
      </c>
      <c r="B43" s="70">
        <f t="shared" si="0"/>
        <v>40500</v>
      </c>
      <c r="C43" s="47">
        <v>19781</v>
      </c>
      <c r="D43" s="47">
        <v>20719</v>
      </c>
      <c r="E43" s="47">
        <v>2422</v>
      </c>
      <c r="F43" s="46">
        <v>313</v>
      </c>
    </row>
    <row r="44" spans="1:6" ht="18" customHeight="1" x14ac:dyDescent="0.35">
      <c r="A44" s="30" t="s">
        <v>2</v>
      </c>
      <c r="B44" s="44">
        <f t="shared" si="0"/>
        <v>4424</v>
      </c>
      <c r="C44" s="44">
        <v>2183</v>
      </c>
      <c r="D44" s="44">
        <v>2241</v>
      </c>
      <c r="E44" s="44">
        <v>530</v>
      </c>
      <c r="F44" s="27">
        <v>45</v>
      </c>
    </row>
    <row r="45" spans="1:6" ht="18" customHeight="1" x14ac:dyDescent="0.35">
      <c r="A45" s="69" t="s">
        <v>16</v>
      </c>
      <c r="B45" s="68">
        <f t="shared" ref="B45:B72" si="4">C45+D45</f>
        <v>35504</v>
      </c>
      <c r="C45" s="68">
        <f>C46+C47+C48+C49</f>
        <v>17760</v>
      </c>
      <c r="D45" s="68">
        <f>D46+D47+D48+D49</f>
        <v>17744</v>
      </c>
      <c r="E45" s="68">
        <f>E46+E47+E48+E49</f>
        <v>3137</v>
      </c>
      <c r="F45" s="67">
        <f>F46+F47+F48+F49</f>
        <v>151</v>
      </c>
    </row>
    <row r="46" spans="1:6" ht="18" customHeight="1" x14ac:dyDescent="0.35">
      <c r="A46" s="65" t="s">
        <v>9</v>
      </c>
      <c r="B46" s="59">
        <f t="shared" si="4"/>
        <v>19443</v>
      </c>
      <c r="C46" s="49">
        <v>10208</v>
      </c>
      <c r="D46" s="49">
        <v>9235</v>
      </c>
      <c r="E46" s="49">
        <v>1414</v>
      </c>
      <c r="F46" s="9">
        <v>115</v>
      </c>
    </row>
    <row r="47" spans="1:6" ht="18" customHeight="1" x14ac:dyDescent="0.35">
      <c r="A47" s="66" t="s">
        <v>8</v>
      </c>
      <c r="B47" s="47">
        <f t="shared" si="4"/>
        <v>14124</v>
      </c>
      <c r="C47" s="50">
        <v>6757</v>
      </c>
      <c r="D47" s="50">
        <v>7367</v>
      </c>
      <c r="E47" s="50">
        <v>1415</v>
      </c>
      <c r="F47" s="46">
        <v>30</v>
      </c>
    </row>
    <row r="48" spans="1:6" ht="18" customHeight="1" x14ac:dyDescent="0.35">
      <c r="A48" s="65" t="s">
        <v>15</v>
      </c>
      <c r="B48" s="11">
        <f t="shared" si="4"/>
        <v>1937</v>
      </c>
      <c r="C48" s="11">
        <v>795</v>
      </c>
      <c r="D48" s="11">
        <v>1142</v>
      </c>
      <c r="E48" s="11">
        <v>308</v>
      </c>
      <c r="F48" s="9">
        <v>6</v>
      </c>
    </row>
    <row r="49" spans="1:6" ht="18" customHeight="1" x14ac:dyDescent="0.35">
      <c r="A49" s="48" t="s">
        <v>7</v>
      </c>
      <c r="B49" s="64">
        <f t="shared" si="4"/>
        <v>0</v>
      </c>
      <c r="C49" s="63">
        <v>0</v>
      </c>
      <c r="D49" s="62">
        <v>0</v>
      </c>
      <c r="E49" s="61">
        <v>0</v>
      </c>
      <c r="F49" s="60">
        <v>0</v>
      </c>
    </row>
    <row r="50" spans="1:6" ht="18" customHeight="1" x14ac:dyDescent="0.35">
      <c r="A50" s="34" t="s">
        <v>3</v>
      </c>
      <c r="B50" s="59">
        <f t="shared" si="4"/>
        <v>33199</v>
      </c>
      <c r="C50" s="59">
        <v>16582</v>
      </c>
      <c r="D50" s="59">
        <v>16617</v>
      </c>
      <c r="E50" s="59">
        <v>2616</v>
      </c>
      <c r="F50" s="9">
        <v>105</v>
      </c>
    </row>
    <row r="51" spans="1:6" ht="18" customHeight="1" x14ac:dyDescent="0.35">
      <c r="A51" s="58" t="s">
        <v>2</v>
      </c>
      <c r="B51" s="57">
        <f t="shared" si="4"/>
        <v>2305</v>
      </c>
      <c r="C51" s="57">
        <v>1178</v>
      </c>
      <c r="D51" s="57">
        <v>1127</v>
      </c>
      <c r="E51" s="57">
        <v>521</v>
      </c>
      <c r="F51" s="56">
        <v>46</v>
      </c>
    </row>
    <row r="52" spans="1:6" ht="18" customHeight="1" x14ac:dyDescent="0.35">
      <c r="A52" s="55" t="s">
        <v>14</v>
      </c>
      <c r="B52" s="54">
        <f t="shared" si="4"/>
        <v>28727</v>
      </c>
      <c r="C52" s="54">
        <f>C54+C55+C56</f>
        <v>14897</v>
      </c>
      <c r="D52" s="54">
        <f>D54+D55+D56</f>
        <v>13830</v>
      </c>
      <c r="E52" s="54">
        <f>E54+E55+E56</f>
        <v>2676</v>
      </c>
      <c r="F52" s="53">
        <f>F57+F58</f>
        <v>71</v>
      </c>
    </row>
    <row r="53" spans="1:6" ht="18" customHeight="1" x14ac:dyDescent="0.35">
      <c r="A53" s="48" t="s">
        <v>5</v>
      </c>
      <c r="B53" s="47">
        <f t="shared" si="4"/>
        <v>28010</v>
      </c>
      <c r="C53" s="50">
        <f>C54+C55</f>
        <v>14523</v>
      </c>
      <c r="D53" s="47">
        <f>D54+D55</f>
        <v>13487</v>
      </c>
      <c r="E53" s="47">
        <f>E54+E55</f>
        <v>2383</v>
      </c>
      <c r="F53" s="46">
        <f>F54+F55</f>
        <v>66</v>
      </c>
    </row>
    <row r="54" spans="1:6" ht="18" customHeight="1" x14ac:dyDescent="0.35">
      <c r="A54" s="52" t="s">
        <v>13</v>
      </c>
      <c r="B54" s="11">
        <f t="shared" si="4"/>
        <v>1321</v>
      </c>
      <c r="C54" s="49">
        <v>874</v>
      </c>
      <c r="D54" s="11">
        <v>447</v>
      </c>
      <c r="E54" s="11">
        <v>173</v>
      </c>
      <c r="F54" s="9">
        <v>11</v>
      </c>
    </row>
    <row r="55" spans="1:6" ht="18" customHeight="1" x14ac:dyDescent="0.35">
      <c r="A55" s="51" t="s">
        <v>12</v>
      </c>
      <c r="B55" s="47">
        <f t="shared" si="4"/>
        <v>26689</v>
      </c>
      <c r="C55" s="50">
        <v>13649</v>
      </c>
      <c r="D55" s="47">
        <v>13040</v>
      </c>
      <c r="E55" s="47">
        <v>2210</v>
      </c>
      <c r="F55" s="46">
        <v>55</v>
      </c>
    </row>
    <row r="56" spans="1:6" ht="18" customHeight="1" x14ac:dyDescent="0.35">
      <c r="A56" s="34" t="s">
        <v>4</v>
      </c>
      <c r="B56" s="11">
        <f t="shared" si="4"/>
        <v>717</v>
      </c>
      <c r="C56" s="49">
        <v>374</v>
      </c>
      <c r="D56" s="11">
        <v>343</v>
      </c>
      <c r="E56" s="11">
        <v>293</v>
      </c>
      <c r="F56" s="9">
        <v>24</v>
      </c>
    </row>
    <row r="57" spans="1:6" ht="18" customHeight="1" x14ac:dyDescent="0.35">
      <c r="A57" s="48" t="s">
        <v>3</v>
      </c>
      <c r="B57" s="47">
        <f t="shared" si="4"/>
        <v>25258</v>
      </c>
      <c r="C57" s="47">
        <v>12783</v>
      </c>
      <c r="D57" s="47">
        <v>12475</v>
      </c>
      <c r="E57" s="47">
        <v>2034</v>
      </c>
      <c r="F57" s="46">
        <v>49</v>
      </c>
    </row>
    <row r="58" spans="1:6" ht="18" customHeight="1" x14ac:dyDescent="0.35">
      <c r="A58" s="30" t="s">
        <v>2</v>
      </c>
      <c r="B58" s="45">
        <f t="shared" si="4"/>
        <v>3469</v>
      </c>
      <c r="C58" s="44">
        <v>2114</v>
      </c>
      <c r="D58" s="44">
        <v>1355</v>
      </c>
      <c r="E58" s="44">
        <v>642</v>
      </c>
      <c r="F58" s="27">
        <v>22</v>
      </c>
    </row>
    <row r="59" spans="1:6" ht="18" customHeight="1" x14ac:dyDescent="0.35">
      <c r="A59" s="43" t="s">
        <v>11</v>
      </c>
      <c r="B59" s="42">
        <f t="shared" si="4"/>
        <v>14548</v>
      </c>
      <c r="C59" s="42">
        <f>C60+C61</f>
        <v>8492</v>
      </c>
      <c r="D59" s="42">
        <f>D60+D61</f>
        <v>6056</v>
      </c>
      <c r="E59" s="42">
        <f>E60+E61</f>
        <v>923</v>
      </c>
      <c r="F59" s="41">
        <f>F60+F61</f>
        <v>40</v>
      </c>
    </row>
    <row r="60" spans="1:6" ht="18" customHeight="1" x14ac:dyDescent="0.35">
      <c r="A60" s="40" t="s">
        <v>3</v>
      </c>
      <c r="B60" s="39">
        <f t="shared" si="4"/>
        <v>2948</v>
      </c>
      <c r="C60" s="39">
        <f t="shared" ref="C60:F61" si="5">C66+C71</f>
        <v>1569</v>
      </c>
      <c r="D60" s="39">
        <f t="shared" si="5"/>
        <v>1379</v>
      </c>
      <c r="E60" s="39">
        <f t="shared" si="5"/>
        <v>176</v>
      </c>
      <c r="F60" s="39">
        <f t="shared" si="5"/>
        <v>18</v>
      </c>
    </row>
    <row r="61" spans="1:6" ht="18" customHeight="1" x14ac:dyDescent="0.35">
      <c r="A61" s="38" t="s">
        <v>2</v>
      </c>
      <c r="B61" s="37">
        <f t="shared" si="4"/>
        <v>11600</v>
      </c>
      <c r="C61" s="37">
        <f t="shared" si="5"/>
        <v>6923</v>
      </c>
      <c r="D61" s="37">
        <f t="shared" si="5"/>
        <v>4677</v>
      </c>
      <c r="E61" s="37">
        <f t="shared" si="5"/>
        <v>747</v>
      </c>
      <c r="F61" s="37">
        <f t="shared" si="5"/>
        <v>22</v>
      </c>
    </row>
    <row r="62" spans="1:6" x14ac:dyDescent="0.35">
      <c r="A62" s="26" t="s">
        <v>10</v>
      </c>
      <c r="B62" s="25">
        <f t="shared" si="4"/>
        <v>2058</v>
      </c>
      <c r="C62" s="25">
        <f>C63+C64+C65</f>
        <v>998</v>
      </c>
      <c r="D62" s="25">
        <f>D63+D64+D65</f>
        <v>1060</v>
      </c>
      <c r="E62" s="25">
        <f>E63+E64+E65</f>
        <v>24</v>
      </c>
      <c r="F62" s="24">
        <f>F66+F67</f>
        <v>6</v>
      </c>
    </row>
    <row r="63" spans="1:6" x14ac:dyDescent="0.35">
      <c r="A63" s="36" t="s">
        <v>9</v>
      </c>
      <c r="B63" s="21">
        <f t="shared" si="4"/>
        <v>2058</v>
      </c>
      <c r="C63" s="22">
        <v>998</v>
      </c>
      <c r="D63" s="21">
        <v>1060</v>
      </c>
      <c r="E63" s="20">
        <v>24</v>
      </c>
      <c r="F63" s="19">
        <v>6</v>
      </c>
    </row>
    <row r="64" spans="1:6" x14ac:dyDescent="0.35">
      <c r="A64" s="32" t="s">
        <v>8</v>
      </c>
      <c r="B64" s="35">
        <f t="shared" si="4"/>
        <v>0</v>
      </c>
      <c r="C64" s="35">
        <v>0</v>
      </c>
      <c r="D64" s="35">
        <v>0</v>
      </c>
      <c r="E64" s="14">
        <v>0</v>
      </c>
      <c r="F64" s="13">
        <v>0</v>
      </c>
    </row>
    <row r="65" spans="1:15" x14ac:dyDescent="0.35">
      <c r="A65" s="34" t="s">
        <v>7</v>
      </c>
      <c r="B65" s="29">
        <f t="shared" si="4"/>
        <v>0</v>
      </c>
      <c r="C65" s="29">
        <v>0</v>
      </c>
      <c r="D65" s="29">
        <v>0</v>
      </c>
      <c r="E65" s="33">
        <v>0</v>
      </c>
      <c r="F65" s="9">
        <v>0</v>
      </c>
    </row>
    <row r="66" spans="1:15" x14ac:dyDescent="0.35">
      <c r="A66" s="32" t="s">
        <v>3</v>
      </c>
      <c r="B66" s="15">
        <f t="shared" si="4"/>
        <v>2058</v>
      </c>
      <c r="C66" s="15">
        <v>998</v>
      </c>
      <c r="D66" s="15">
        <v>1060</v>
      </c>
      <c r="E66" s="31">
        <v>24</v>
      </c>
      <c r="F66" s="13">
        <v>6</v>
      </c>
    </row>
    <row r="67" spans="1:15" x14ac:dyDescent="0.35">
      <c r="A67" s="30" t="s">
        <v>2</v>
      </c>
      <c r="B67" s="29">
        <f t="shared" si="4"/>
        <v>0</v>
      </c>
      <c r="C67" s="29">
        <v>0</v>
      </c>
      <c r="D67" s="29">
        <v>0</v>
      </c>
      <c r="E67" s="28">
        <v>0</v>
      </c>
      <c r="F67" s="27">
        <v>0</v>
      </c>
    </row>
    <row r="68" spans="1:15" x14ac:dyDescent="0.35">
      <c r="A68" s="26" t="s">
        <v>6</v>
      </c>
      <c r="B68" s="25">
        <f t="shared" si="4"/>
        <v>12490</v>
      </c>
      <c r="C68" s="25">
        <f>C69+C70</f>
        <v>7494</v>
      </c>
      <c r="D68" s="25">
        <f>D69+D70</f>
        <v>4996</v>
      </c>
      <c r="E68" s="25">
        <f>E71+E72</f>
        <v>899</v>
      </c>
      <c r="F68" s="24">
        <f>F71+F72</f>
        <v>34</v>
      </c>
    </row>
    <row r="69" spans="1:15" x14ac:dyDescent="0.35">
      <c r="A69" s="23" t="s">
        <v>5</v>
      </c>
      <c r="B69" s="21">
        <f t="shared" si="4"/>
        <v>4041</v>
      </c>
      <c r="C69" s="22">
        <v>2323</v>
      </c>
      <c r="D69" s="21">
        <v>1718</v>
      </c>
      <c r="E69" s="20">
        <v>551</v>
      </c>
      <c r="F69" s="19">
        <v>24</v>
      </c>
      <c r="G69" s="18"/>
    </row>
    <row r="70" spans="1:15" x14ac:dyDescent="0.35">
      <c r="A70" s="17" t="s">
        <v>4</v>
      </c>
      <c r="B70" s="15">
        <f t="shared" si="4"/>
        <v>8449</v>
      </c>
      <c r="C70" s="16">
        <v>5171</v>
      </c>
      <c r="D70" s="15">
        <v>3278</v>
      </c>
      <c r="E70" s="14">
        <v>348</v>
      </c>
      <c r="F70" s="13">
        <v>22</v>
      </c>
    </row>
    <row r="71" spans="1:15" x14ac:dyDescent="0.35">
      <c r="A71" s="12" t="s">
        <v>3</v>
      </c>
      <c r="B71" s="11">
        <f t="shared" si="4"/>
        <v>890</v>
      </c>
      <c r="C71" s="11">
        <v>571</v>
      </c>
      <c r="D71" s="11">
        <v>319</v>
      </c>
      <c r="E71" s="10">
        <v>152</v>
      </c>
      <c r="F71" s="9">
        <v>12</v>
      </c>
    </row>
    <row r="72" spans="1:15" x14ac:dyDescent="0.35">
      <c r="A72" s="8" t="s">
        <v>2</v>
      </c>
      <c r="B72" s="6">
        <f t="shared" si="4"/>
        <v>11600</v>
      </c>
      <c r="C72" s="7">
        <v>6923</v>
      </c>
      <c r="D72" s="6">
        <v>4677</v>
      </c>
      <c r="E72" s="5">
        <v>747</v>
      </c>
      <c r="F72" s="4">
        <v>22</v>
      </c>
    </row>
    <row r="73" spans="1:15" x14ac:dyDescent="0.35">
      <c r="F73" s="3" t="s">
        <v>1</v>
      </c>
    </row>
    <row r="74" spans="1:15" ht="41.1" customHeight="1" x14ac:dyDescent="0.35">
      <c r="A74" s="149" t="s">
        <v>0</v>
      </c>
      <c r="B74" s="149"/>
      <c r="C74" s="149"/>
      <c r="D74" s="149"/>
      <c r="E74" s="149"/>
      <c r="F74" s="149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5AAE-F706-432C-B121-65D77F4367E1}">
  <sheetPr codeName="Hoja2">
    <tabColor rgb="FFD4C19C"/>
    <pageSetUpPr fitToPage="1"/>
  </sheetPr>
  <dimension ref="A1:K67"/>
  <sheetViews>
    <sheetView showGridLines="0" showZeros="0" zoomScale="120" zoomScaleNormal="120" workbookViewId="0">
      <selection activeCell="A10" sqref="A10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4">
        <v>27</v>
      </c>
      <c r="C1" s="94">
        <v>28</v>
      </c>
      <c r="D1" s="94" t="e">
        <v>#VALUE!</v>
      </c>
      <c r="E1" s="94">
        <v>29</v>
      </c>
      <c r="F1" s="94" t="e">
        <v>#VALUE!</v>
      </c>
    </row>
    <row r="3" spans="1:10" ht="13.5" customHeight="1" x14ac:dyDescent="0.35">
      <c r="C3" s="90"/>
      <c r="D3" s="90"/>
      <c r="E3" s="90"/>
      <c r="F3" s="90" t="s">
        <v>41</v>
      </c>
    </row>
    <row r="4" spans="1:10" ht="3" customHeight="1" x14ac:dyDescent="0.35">
      <c r="C4" s="90"/>
      <c r="D4" s="90"/>
      <c r="E4" s="90"/>
      <c r="F4" s="90"/>
    </row>
    <row r="5" spans="1:10" ht="15" customHeight="1" x14ac:dyDescent="0.35">
      <c r="C5" s="90"/>
      <c r="D5" s="90"/>
      <c r="E5" s="90"/>
      <c r="F5" s="90" t="s">
        <v>40</v>
      </c>
    </row>
    <row r="6" spans="1:10" ht="3.75" customHeight="1" x14ac:dyDescent="0.35"/>
    <row r="7" spans="1:10" s="1" customFormat="1" ht="15.75" customHeight="1" x14ac:dyDescent="0.35">
      <c r="A7" s="143" t="s">
        <v>29</v>
      </c>
      <c r="B7" s="143"/>
      <c r="C7" s="143"/>
      <c r="D7" s="143"/>
      <c r="E7" s="143"/>
      <c r="F7" s="143"/>
      <c r="H7" s="2"/>
      <c r="I7" s="2"/>
    </row>
    <row r="8" spans="1:10" s="1" customFormat="1" ht="15.75" customHeight="1" x14ac:dyDescent="0.35">
      <c r="A8" s="143" t="s">
        <v>76</v>
      </c>
      <c r="B8" s="143"/>
      <c r="C8" s="143"/>
      <c r="D8" s="143"/>
      <c r="E8" s="143"/>
      <c r="F8" s="143"/>
      <c r="H8" s="2"/>
      <c r="I8" s="2"/>
    </row>
    <row r="9" spans="1:10" s="1" customFormat="1" ht="3" customHeight="1" x14ac:dyDescent="0.35">
      <c r="A9" s="148"/>
      <c r="B9" s="147"/>
      <c r="C9" s="146"/>
      <c r="D9" s="145"/>
      <c r="E9" s="146"/>
      <c r="F9" s="145"/>
      <c r="H9" s="142"/>
      <c r="I9" s="2"/>
    </row>
    <row r="10" spans="1:10" s="1" customFormat="1" ht="15.75" customHeight="1" x14ac:dyDescent="0.35">
      <c r="A10" s="144" t="s">
        <v>38</v>
      </c>
      <c r="B10" s="144"/>
      <c r="C10" s="143"/>
      <c r="D10" s="143"/>
      <c r="E10" s="143"/>
      <c r="F10" s="143"/>
      <c r="H10" s="142"/>
      <c r="I10" s="2"/>
    </row>
    <row r="11" spans="1:10" ht="18" customHeight="1" x14ac:dyDescent="0.35">
      <c r="A11" s="155" t="s">
        <v>75</v>
      </c>
      <c r="B11" s="141" t="s">
        <v>74</v>
      </c>
      <c r="C11" s="140" t="s">
        <v>73</v>
      </c>
      <c r="D11" s="139"/>
      <c r="E11" s="140" t="s">
        <v>72</v>
      </c>
      <c r="F11" s="139"/>
    </row>
    <row r="12" spans="1:10" ht="21.75" customHeight="1" x14ac:dyDescent="0.35">
      <c r="A12" s="156"/>
      <c r="B12" s="138" t="s">
        <v>71</v>
      </c>
      <c r="C12" s="137" t="s">
        <v>71</v>
      </c>
      <c r="D12" s="135" t="s">
        <v>70</v>
      </c>
      <c r="E12" s="136" t="s">
        <v>71</v>
      </c>
      <c r="F12" s="135" t="s">
        <v>70</v>
      </c>
    </row>
    <row r="13" spans="1:10" x14ac:dyDescent="0.35">
      <c r="A13" s="134" t="s">
        <v>28</v>
      </c>
      <c r="B13" s="133"/>
      <c r="C13" s="132"/>
      <c r="D13" s="132"/>
      <c r="E13" s="131"/>
      <c r="F13" s="130"/>
      <c r="H13" s="91"/>
    </row>
    <row r="14" spans="1:10" x14ac:dyDescent="0.35">
      <c r="A14" s="108" t="s">
        <v>69</v>
      </c>
      <c r="B14" s="107">
        <v>85.009740979569898</v>
      </c>
      <c r="C14" s="107">
        <v>82.043849626313531</v>
      </c>
      <c r="D14" s="106">
        <v>90.548895792070439</v>
      </c>
      <c r="E14" s="105">
        <v>85.743391276438388</v>
      </c>
      <c r="F14" s="104">
        <v>92.175076705359459</v>
      </c>
      <c r="H14" s="120"/>
      <c r="I14" s="120"/>
      <c r="J14" s="120"/>
    </row>
    <row r="15" spans="1:10" x14ac:dyDescent="0.35">
      <c r="A15" s="113" t="s">
        <v>68</v>
      </c>
      <c r="B15" s="112">
        <v>84.084701709034817</v>
      </c>
      <c r="C15" s="112">
        <v>81.266506827504827</v>
      </c>
      <c r="D15" s="111">
        <v>89.822984263753895</v>
      </c>
      <c r="E15" s="110">
        <v>84.931226480479665</v>
      </c>
      <c r="F15" s="109">
        <v>91.436409983971117</v>
      </c>
      <c r="H15" s="91"/>
      <c r="I15" s="91"/>
      <c r="J15" s="91"/>
    </row>
    <row r="16" spans="1:10" x14ac:dyDescent="0.35">
      <c r="A16" s="128" t="s">
        <v>26</v>
      </c>
      <c r="B16" s="127"/>
      <c r="C16" s="127"/>
      <c r="D16" s="127"/>
      <c r="E16" s="127"/>
      <c r="F16" s="126"/>
      <c r="H16" s="91"/>
      <c r="I16" s="91"/>
      <c r="J16" s="91"/>
    </row>
    <row r="17" spans="1:11" x14ac:dyDescent="0.35">
      <c r="A17" s="108" t="s">
        <v>67</v>
      </c>
      <c r="B17" s="107">
        <v>39.089089089089093</v>
      </c>
      <c r="C17" s="107">
        <v>36.985159246289811</v>
      </c>
      <c r="D17" s="106">
        <v>38.580942141638275</v>
      </c>
      <c r="E17" s="105">
        <v>48.979818757991886</v>
      </c>
      <c r="F17" s="104">
        <v>48.361513668823143</v>
      </c>
      <c r="H17" s="91"/>
      <c r="I17" s="120"/>
      <c r="J17" s="120"/>
      <c r="K17" s="129"/>
    </row>
    <row r="18" spans="1:11" x14ac:dyDescent="0.35">
      <c r="A18" s="113" t="s">
        <v>66</v>
      </c>
      <c r="B18" s="112">
        <v>73.261943986820427</v>
      </c>
      <c r="C18" s="112">
        <v>67.208672086720867</v>
      </c>
      <c r="D18" s="111">
        <v>77.998743134706629</v>
      </c>
      <c r="E18" s="110">
        <v>83.037540775142375</v>
      </c>
      <c r="F18" s="109">
        <v>88.525570726115859</v>
      </c>
      <c r="H18" s="91"/>
      <c r="I18" s="120"/>
      <c r="J18" s="120"/>
      <c r="K18" s="129"/>
    </row>
    <row r="19" spans="1:11" x14ac:dyDescent="0.35">
      <c r="A19" s="108" t="s">
        <v>65</v>
      </c>
      <c r="B19" s="107">
        <v>75.994318181818173</v>
      </c>
      <c r="C19" s="107">
        <v>68.57736695290707</v>
      </c>
      <c r="D19" s="106">
        <v>73.121669901048492</v>
      </c>
      <c r="E19" s="105">
        <v>76.499752107089733</v>
      </c>
      <c r="F19" s="104">
        <v>77.265666530891224</v>
      </c>
      <c r="H19" s="91"/>
      <c r="I19" s="120"/>
      <c r="J19" s="120"/>
      <c r="K19" s="129"/>
    </row>
    <row r="20" spans="1:11" x14ac:dyDescent="0.35">
      <c r="A20" s="113" t="s">
        <v>64</v>
      </c>
      <c r="B20" s="112">
        <v>62.903699354081034</v>
      </c>
      <c r="C20" s="112">
        <v>57.665348174041029</v>
      </c>
      <c r="D20" s="111">
        <v>63.307350306076884</v>
      </c>
      <c r="E20" s="110">
        <v>69.552068157928701</v>
      </c>
      <c r="F20" s="109">
        <v>71.448553833817613</v>
      </c>
      <c r="H20" s="91"/>
      <c r="I20" s="120"/>
      <c r="J20" s="120"/>
      <c r="K20" s="129"/>
    </row>
    <row r="21" spans="1:11" x14ac:dyDescent="0.35">
      <c r="A21" s="108" t="s">
        <v>63</v>
      </c>
      <c r="B21" s="107">
        <v>63.043159130945391</v>
      </c>
      <c r="C21" s="107">
        <v>57.832766074878116</v>
      </c>
      <c r="D21" s="106">
        <v>63.672054942229941</v>
      </c>
      <c r="E21" s="105">
        <v>69.753075036420981</v>
      </c>
      <c r="F21" s="104">
        <v>71.858408255034533</v>
      </c>
      <c r="H21" s="91"/>
      <c r="I21" s="120"/>
      <c r="J21" s="120"/>
      <c r="K21" s="129"/>
    </row>
    <row r="22" spans="1:11" x14ac:dyDescent="0.35">
      <c r="A22" s="128" t="s">
        <v>24</v>
      </c>
      <c r="B22" s="127"/>
      <c r="C22" s="127"/>
      <c r="D22" s="127"/>
      <c r="E22" s="127"/>
      <c r="F22" s="126"/>
      <c r="H22" s="120"/>
      <c r="I22" s="120"/>
      <c r="J22" s="120"/>
    </row>
    <row r="23" spans="1:11" x14ac:dyDescent="0.35">
      <c r="A23" s="108" t="s">
        <v>50</v>
      </c>
      <c r="B23" s="107">
        <v>1.038743120823804</v>
      </c>
      <c r="C23" s="107">
        <v>0.93075958075351517</v>
      </c>
      <c r="D23" s="106">
        <v>0.43876962396363073</v>
      </c>
      <c r="E23" s="107">
        <v>0.85057312662008</v>
      </c>
      <c r="F23" s="104">
        <v>0.39712680772554521</v>
      </c>
      <c r="H23" s="120"/>
      <c r="I23" s="120"/>
      <c r="J23" s="120"/>
    </row>
    <row r="24" spans="1:11" x14ac:dyDescent="0.35">
      <c r="A24" s="113" t="s">
        <v>58</v>
      </c>
      <c r="B24" s="112">
        <v>0.12550326810509826</v>
      </c>
      <c r="C24" s="112">
        <v>0.10002653765284197</v>
      </c>
      <c r="D24" s="111">
        <v>0.47104009397397339</v>
      </c>
      <c r="E24" s="112">
        <v>7.4519350191271094E-2</v>
      </c>
      <c r="F24" s="109">
        <v>0.45218297092196602</v>
      </c>
      <c r="H24" s="120"/>
      <c r="I24" s="120"/>
      <c r="J24" s="120"/>
    </row>
    <row r="25" spans="1:11" x14ac:dyDescent="0.35">
      <c r="A25" s="108" t="s">
        <v>57</v>
      </c>
      <c r="B25" s="107">
        <v>94.995093228655549</v>
      </c>
      <c r="C25" s="107">
        <v>95.909756812188689</v>
      </c>
      <c r="D25" s="106">
        <v>96.9551648474215</v>
      </c>
      <c r="E25" s="107">
        <v>99.546078958370671</v>
      </c>
      <c r="F25" s="104">
        <v>98.150026946338286</v>
      </c>
      <c r="H25" s="120"/>
      <c r="I25" s="120"/>
      <c r="J25" s="120"/>
    </row>
    <row r="26" spans="1:11" x14ac:dyDescent="0.35">
      <c r="A26" s="113" t="s">
        <v>56</v>
      </c>
      <c r="B26" s="112">
        <v>95.674418604651166</v>
      </c>
      <c r="C26" s="112">
        <v>94.317985362761476</v>
      </c>
      <c r="D26" s="111">
        <v>101.9341223948949</v>
      </c>
      <c r="E26" s="112">
        <v>95.153002968714318</v>
      </c>
      <c r="F26" s="109">
        <v>103.78941864704068</v>
      </c>
      <c r="H26" s="120"/>
      <c r="I26" s="120"/>
      <c r="J26" s="120"/>
    </row>
    <row r="27" spans="1:11" x14ac:dyDescent="0.35">
      <c r="A27" s="108" t="s">
        <v>62</v>
      </c>
      <c r="B27" s="107">
        <v>94.337187061273326</v>
      </c>
      <c r="C27" s="107">
        <v>92.009531965595556</v>
      </c>
      <c r="D27" s="106">
        <v>101.72046958709984</v>
      </c>
      <c r="E27" s="107">
        <v>93.481425517800545</v>
      </c>
      <c r="F27" s="104">
        <v>101.19578388660526</v>
      </c>
      <c r="H27" s="120"/>
      <c r="I27" s="120"/>
      <c r="J27" s="120"/>
    </row>
    <row r="28" spans="1:11" x14ac:dyDescent="0.35">
      <c r="A28" s="113" t="s">
        <v>61</v>
      </c>
      <c r="B28" s="112">
        <v>88.898625283847323</v>
      </c>
      <c r="C28" s="112">
        <v>86.851658785419076</v>
      </c>
      <c r="D28" s="111">
        <v>96.314695429046509</v>
      </c>
      <c r="E28" s="112">
        <v>88.240768040097294</v>
      </c>
      <c r="F28" s="109">
        <v>95.816612827648669</v>
      </c>
      <c r="H28" s="91"/>
      <c r="I28" s="91"/>
      <c r="J28" s="91"/>
    </row>
    <row r="29" spans="1:11" x14ac:dyDescent="0.35">
      <c r="A29" s="128" t="s">
        <v>20</v>
      </c>
      <c r="B29" s="127"/>
      <c r="C29" s="127"/>
      <c r="D29" s="127"/>
      <c r="E29" s="127"/>
      <c r="F29" s="126"/>
      <c r="H29" s="120"/>
      <c r="I29" s="120"/>
      <c r="J29" s="120"/>
    </row>
    <row r="30" spans="1:11" x14ac:dyDescent="0.35">
      <c r="A30" s="108" t="s">
        <v>51</v>
      </c>
      <c r="B30" s="107">
        <v>98.536983548913724</v>
      </c>
      <c r="C30" s="107">
        <v>93.151434127369953</v>
      </c>
      <c r="D30" s="106">
        <v>93.105822485612947</v>
      </c>
      <c r="E30" s="105">
        <v>98.600843160017106</v>
      </c>
      <c r="F30" s="104">
        <v>95.031628893548429</v>
      </c>
      <c r="H30" s="120"/>
      <c r="I30" s="120"/>
      <c r="J30" s="120"/>
    </row>
    <row r="31" spans="1:11" x14ac:dyDescent="0.35">
      <c r="A31" s="113" t="s">
        <v>50</v>
      </c>
      <c r="B31" s="112">
        <v>4.6396711562008086</v>
      </c>
      <c r="C31" s="112">
        <v>4.6433977384026326</v>
      </c>
      <c r="D31" s="111">
        <v>2.54778221710249</v>
      </c>
      <c r="E31" s="110">
        <v>4.6730009323802335</v>
      </c>
      <c r="F31" s="109">
        <v>2.2918429271874818</v>
      </c>
      <c r="H31" s="120"/>
      <c r="I31" s="120"/>
      <c r="J31" s="120"/>
    </row>
    <row r="32" spans="1:11" x14ac:dyDescent="0.35">
      <c r="A32" s="108" t="s">
        <v>58</v>
      </c>
      <c r="B32" s="107">
        <v>3.69210958660805</v>
      </c>
      <c r="C32" s="107">
        <v>3.6797613127797169</v>
      </c>
      <c r="D32" s="106">
        <v>2.2384648038226818</v>
      </c>
      <c r="E32" s="105">
        <v>3.6678840344469998</v>
      </c>
      <c r="F32" s="104">
        <v>2.1403697727291782</v>
      </c>
      <c r="H32" s="120"/>
      <c r="I32" s="120"/>
      <c r="J32" s="120"/>
    </row>
    <row r="33" spans="1:10" x14ac:dyDescent="0.35">
      <c r="A33" s="113" t="s">
        <v>57</v>
      </c>
      <c r="B33" s="112">
        <v>89.384085692425401</v>
      </c>
      <c r="C33" s="112">
        <v>90.607519188239877</v>
      </c>
      <c r="D33" s="111">
        <v>92.865387576774694</v>
      </c>
      <c r="E33" s="110">
        <v>86.395208054546615</v>
      </c>
      <c r="F33" s="109">
        <v>92.527364626036132</v>
      </c>
      <c r="H33" s="120"/>
      <c r="I33" s="120"/>
      <c r="J33" s="120"/>
    </row>
    <row r="34" spans="1:10" x14ac:dyDescent="0.35">
      <c r="A34" s="108" t="s">
        <v>56</v>
      </c>
      <c r="B34" s="107">
        <v>82.333940212603508</v>
      </c>
      <c r="C34" s="107">
        <v>81.38583781257303</v>
      </c>
      <c r="D34" s="106">
        <v>91.876923795994145</v>
      </c>
      <c r="E34" s="105">
        <v>78.715745471435213</v>
      </c>
      <c r="F34" s="104">
        <v>89.804444151920364</v>
      </c>
      <c r="H34" s="120"/>
      <c r="I34" s="120"/>
      <c r="J34" s="120"/>
    </row>
    <row r="35" spans="1:10" x14ac:dyDescent="0.35">
      <c r="A35" s="113" t="s">
        <v>60</v>
      </c>
      <c r="B35" s="112">
        <v>89.042909430729694</v>
      </c>
      <c r="C35" s="112">
        <v>86.784506906210751</v>
      </c>
      <c r="D35" s="111">
        <v>94.670888333927934</v>
      </c>
      <c r="E35" s="110">
        <v>86.265272511394542</v>
      </c>
      <c r="F35" s="109">
        <v>94.056932269296951</v>
      </c>
      <c r="H35" s="120"/>
      <c r="I35" s="120"/>
      <c r="J35" s="120"/>
    </row>
    <row r="36" spans="1:10" x14ac:dyDescent="0.35">
      <c r="A36" s="108" t="s">
        <v>59</v>
      </c>
      <c r="B36" s="107">
        <v>77.918386418503232</v>
      </c>
      <c r="C36" s="107">
        <v>76.068772336520823</v>
      </c>
      <c r="D36" s="106">
        <v>83.855666307503625</v>
      </c>
      <c r="E36" s="105">
        <v>75.613773028457615</v>
      </c>
      <c r="F36" s="125">
        <v>83.305904438452842</v>
      </c>
      <c r="H36" s="120"/>
      <c r="I36" s="120"/>
      <c r="J36" s="120"/>
    </row>
    <row r="37" spans="1:10" x14ac:dyDescent="0.35">
      <c r="A37" s="124" t="s">
        <v>10</v>
      </c>
      <c r="B37" s="123"/>
      <c r="C37" s="123"/>
      <c r="D37" s="123"/>
      <c r="E37" s="123"/>
      <c r="F37" s="122"/>
      <c r="H37" s="120"/>
      <c r="I37" s="120"/>
      <c r="J37" s="120"/>
    </row>
    <row r="38" spans="1:10" x14ac:dyDescent="0.35">
      <c r="A38" s="108" t="s">
        <v>51</v>
      </c>
      <c r="B38" s="107">
        <v>99.463077375698745</v>
      </c>
      <c r="C38" s="107">
        <v>94.072330408731005</v>
      </c>
      <c r="D38" s="106">
        <v>90.303209142071765</v>
      </c>
      <c r="E38" s="105">
        <v>95.168700646087572</v>
      </c>
      <c r="F38" s="104">
        <v>91.299275514381847</v>
      </c>
      <c r="H38" s="120"/>
      <c r="I38" s="120"/>
      <c r="J38" s="120"/>
    </row>
    <row r="39" spans="1:10" x14ac:dyDescent="0.35">
      <c r="A39" s="113" t="s">
        <v>50</v>
      </c>
      <c r="B39" s="112">
        <v>12.926662097326936</v>
      </c>
      <c r="C39" s="112">
        <v>7.8132041460117208</v>
      </c>
      <c r="D39" s="111">
        <v>9.2482325469735116</v>
      </c>
      <c r="E39" s="110">
        <v>7.9223769939339439</v>
      </c>
      <c r="F39" s="109">
        <v>9.2356339587371004</v>
      </c>
      <c r="H39" s="120"/>
      <c r="I39" s="120"/>
      <c r="J39" s="120"/>
    </row>
    <row r="40" spans="1:10" x14ac:dyDescent="0.35">
      <c r="A40" s="108" t="s">
        <v>58</v>
      </c>
      <c r="B40" s="107">
        <v>9.4165167723815895</v>
      </c>
      <c r="C40" s="107">
        <v>9.3306412139011243</v>
      </c>
      <c r="D40" s="106">
        <v>12.053771184956375</v>
      </c>
      <c r="E40" s="105">
        <v>9.2441594136509426</v>
      </c>
      <c r="F40" s="104">
        <v>11.972895108572123</v>
      </c>
      <c r="H40" s="120"/>
      <c r="I40" s="120"/>
      <c r="J40" s="120"/>
    </row>
    <row r="41" spans="1:10" x14ac:dyDescent="0.35">
      <c r="A41" s="113" t="s">
        <v>57</v>
      </c>
      <c r="B41" s="112">
        <v>63.272142570012058</v>
      </c>
      <c r="C41" s="112">
        <v>72.206762209545019</v>
      </c>
      <c r="D41" s="111">
        <v>70.240267556253883</v>
      </c>
      <c r="E41" s="110">
        <v>71.603934038305113</v>
      </c>
      <c r="F41" s="109">
        <v>73.212677807008802</v>
      </c>
      <c r="H41" s="91"/>
      <c r="I41" s="91"/>
      <c r="J41" s="91"/>
    </row>
    <row r="42" spans="1:10" x14ac:dyDescent="0.35">
      <c r="A42" s="108" t="s">
        <v>56</v>
      </c>
      <c r="B42" s="107">
        <v>55.746414025146095</v>
      </c>
      <c r="C42" s="107">
        <v>60.941811989900771</v>
      </c>
      <c r="D42" s="106">
        <v>63.600436314437992</v>
      </c>
      <c r="E42" s="105">
        <v>56.463933757070386</v>
      </c>
      <c r="F42" s="104">
        <v>60.075548708762398</v>
      </c>
      <c r="H42" s="120"/>
      <c r="I42" s="120"/>
      <c r="J42" s="120"/>
    </row>
    <row r="43" spans="1:10" x14ac:dyDescent="0.35">
      <c r="A43" s="113" t="s">
        <v>55</v>
      </c>
      <c r="B43" s="112">
        <v>71.537842979583033</v>
      </c>
      <c r="C43" s="112">
        <v>69.208576998050688</v>
      </c>
      <c r="D43" s="111">
        <v>72.862042704061992</v>
      </c>
      <c r="E43" s="110">
        <v>69.005077322584398</v>
      </c>
      <c r="F43" s="109">
        <v>73.197457862217306</v>
      </c>
      <c r="H43" s="120"/>
      <c r="I43" s="120"/>
      <c r="J43" s="120"/>
    </row>
    <row r="44" spans="1:10" x14ac:dyDescent="0.35">
      <c r="A44" s="108" t="s">
        <v>54</v>
      </c>
      <c r="B44" s="107">
        <v>74.697471904603134</v>
      </c>
      <c r="C44" s="107">
        <v>73.220272904483437</v>
      </c>
      <c r="D44" s="106">
        <v>78.400458538136903</v>
      </c>
      <c r="E44" s="105">
        <v>73.004922289833729</v>
      </c>
      <c r="F44" s="104">
        <v>78.773452915283144</v>
      </c>
      <c r="H44" s="120"/>
      <c r="I44" s="121"/>
      <c r="J44" s="121"/>
    </row>
    <row r="45" spans="1:10" x14ac:dyDescent="0.35">
      <c r="A45" s="113" t="s">
        <v>53</v>
      </c>
      <c r="B45" s="112">
        <v>59.566163924137527</v>
      </c>
      <c r="C45" s="112">
        <v>56.762183235867447</v>
      </c>
      <c r="D45" s="111">
        <v>60.675903080458362</v>
      </c>
      <c r="E45" s="110">
        <v>54.968799658927949</v>
      </c>
      <c r="F45" s="109">
        <v>59.146954254527095</v>
      </c>
      <c r="H45" s="120"/>
      <c r="I45" s="120"/>
      <c r="J45" s="120"/>
    </row>
    <row r="46" spans="1:10" x14ac:dyDescent="0.35">
      <c r="A46" s="119" t="s">
        <v>52</v>
      </c>
      <c r="B46" s="118"/>
      <c r="C46" s="118"/>
      <c r="D46" s="118"/>
      <c r="E46" s="118"/>
      <c r="F46" s="117"/>
      <c r="H46" s="91"/>
      <c r="I46" s="91"/>
      <c r="J46" s="91"/>
    </row>
    <row r="47" spans="1:10" x14ac:dyDescent="0.35">
      <c r="A47" s="108" t="s">
        <v>51</v>
      </c>
      <c r="B47" s="107">
        <v>75.696012039127154</v>
      </c>
      <c r="C47" s="107">
        <v>85.758153324862349</v>
      </c>
      <c r="D47" s="106">
        <v>68.075095204300098</v>
      </c>
      <c r="E47" s="105">
        <v>85.962038732055106</v>
      </c>
      <c r="F47" s="104">
        <v>69.076045758390194</v>
      </c>
      <c r="H47" s="91"/>
      <c r="I47" s="91"/>
      <c r="J47" s="91"/>
    </row>
    <row r="48" spans="1:10" x14ac:dyDescent="0.35">
      <c r="A48" s="113" t="s">
        <v>50</v>
      </c>
      <c r="B48" s="112">
        <v>12.783742883908623</v>
      </c>
      <c r="C48" s="112">
        <v>12.538379150303458</v>
      </c>
      <c r="D48" s="111">
        <v>8.5439504278360232</v>
      </c>
      <c r="E48" s="110">
        <v>12.304566430194919</v>
      </c>
      <c r="F48" s="109">
        <v>8.3337551407782318</v>
      </c>
      <c r="H48" s="91"/>
      <c r="I48" s="91"/>
      <c r="J48" s="91"/>
    </row>
    <row r="49" spans="1:10" x14ac:dyDescent="0.35">
      <c r="A49" s="108" t="s">
        <v>49</v>
      </c>
      <c r="B49" s="107">
        <v>27.725634589653186</v>
      </c>
      <c r="C49" s="107">
        <v>27.99002270224976</v>
      </c>
      <c r="D49" s="106">
        <v>30.621789759912865</v>
      </c>
      <c r="E49" s="105">
        <v>28.95040816920822</v>
      </c>
      <c r="F49" s="104">
        <v>30.806235981494044</v>
      </c>
      <c r="H49" s="91"/>
      <c r="I49" s="91"/>
      <c r="J49" s="91"/>
    </row>
    <row r="50" spans="1:10" x14ac:dyDescent="0.35">
      <c r="A50" s="113" t="s">
        <v>48</v>
      </c>
      <c r="B50" s="112">
        <v>32.621829380098262</v>
      </c>
      <c r="C50" s="112">
        <v>32.818193534780725</v>
      </c>
      <c r="D50" s="111">
        <v>34.484611655840489</v>
      </c>
      <c r="E50" s="110">
        <v>33.871061809613792</v>
      </c>
      <c r="F50" s="109">
        <v>34.683476115270743</v>
      </c>
      <c r="H50" s="91"/>
      <c r="I50" s="91"/>
      <c r="J50" s="91"/>
    </row>
    <row r="51" spans="1:10" x14ac:dyDescent="0.35">
      <c r="A51" s="108" t="s">
        <v>47</v>
      </c>
      <c r="B51" s="107">
        <v>37.125931498154635</v>
      </c>
      <c r="C51" s="107">
        <v>37.552871152561835</v>
      </c>
      <c r="D51" s="106">
        <v>42.545891307303194</v>
      </c>
      <c r="E51" s="105">
        <v>38.746777711679556</v>
      </c>
      <c r="F51" s="104">
        <v>42.84947472301657</v>
      </c>
      <c r="H51" s="91"/>
      <c r="I51" s="91"/>
      <c r="J51" s="91"/>
    </row>
    <row r="52" spans="1:10" x14ac:dyDescent="0.35">
      <c r="A52" s="116" t="s">
        <v>46</v>
      </c>
      <c r="B52" s="115"/>
      <c r="C52" s="115"/>
      <c r="D52" s="115"/>
      <c r="E52" s="115"/>
      <c r="F52" s="114"/>
      <c r="H52" s="91"/>
      <c r="I52" s="91"/>
      <c r="J52" s="91"/>
    </row>
    <row r="53" spans="1:10" x14ac:dyDescent="0.35">
      <c r="A53" s="113" t="s">
        <v>45</v>
      </c>
      <c r="B53" s="112">
        <v>12.849445348042408</v>
      </c>
      <c r="C53" s="112">
        <v>12.512235609098608</v>
      </c>
      <c r="D53" s="111">
        <v>13.596245811879109</v>
      </c>
      <c r="E53" s="110">
        <v>12.4462382028871</v>
      </c>
      <c r="F53" s="109">
        <v>13.486295481889201</v>
      </c>
      <c r="H53" s="91"/>
      <c r="I53" s="91"/>
      <c r="J53" s="91"/>
    </row>
    <row r="54" spans="1:10" x14ac:dyDescent="0.35">
      <c r="A54" s="108" t="s">
        <v>44</v>
      </c>
      <c r="B54" s="107">
        <v>9.6300000000000008</v>
      </c>
      <c r="C54" s="107">
        <v>9.7283091079178625</v>
      </c>
      <c r="D54" s="106">
        <v>9.8556313156987496</v>
      </c>
      <c r="E54" s="105">
        <v>9.8266182158357243</v>
      </c>
      <c r="F54" s="104">
        <v>9.971262631397499</v>
      </c>
      <c r="H54" s="91"/>
      <c r="I54" s="91"/>
      <c r="J54" s="91"/>
    </row>
    <row r="55" spans="1:10" x14ac:dyDescent="0.35">
      <c r="A55" s="103" t="s">
        <v>43</v>
      </c>
      <c r="B55" s="102">
        <v>5.7294625775407271</v>
      </c>
      <c r="C55" s="102">
        <v>5.5949322480902151</v>
      </c>
      <c r="D55" s="101">
        <v>4.4889089590471833</v>
      </c>
      <c r="E55" s="100">
        <v>5.3749698610892374</v>
      </c>
      <c r="F55" s="99">
        <v>4.3201167946423542</v>
      </c>
      <c r="H55" s="91"/>
      <c r="I55" s="91"/>
      <c r="J55" s="91"/>
    </row>
    <row r="56" spans="1:10" ht="14.25" customHeight="1" x14ac:dyDescent="0.35">
      <c r="A56" s="98"/>
      <c r="B56" s="97"/>
      <c r="D56" s="96"/>
      <c r="F56" s="96" t="s">
        <v>1</v>
      </c>
      <c r="H56" s="91"/>
      <c r="I56" s="91"/>
      <c r="J56" s="91"/>
    </row>
    <row r="57" spans="1:10" s="94" customFormat="1" ht="86.45" customHeight="1" x14ac:dyDescent="0.35">
      <c r="A57" s="157" t="s">
        <v>42</v>
      </c>
      <c r="B57" s="157"/>
      <c r="C57" s="157"/>
      <c r="D57" s="157"/>
      <c r="E57" s="95"/>
      <c r="H57" s="91"/>
      <c r="I57" s="91"/>
      <c r="J57" s="91"/>
    </row>
    <row r="58" spans="1:10" x14ac:dyDescent="0.35">
      <c r="B58" s="91"/>
      <c r="C58" s="91"/>
      <c r="D58" s="91"/>
      <c r="E58" s="93"/>
      <c r="H58" s="91"/>
      <c r="I58" s="91"/>
      <c r="J58" s="91"/>
    </row>
    <row r="59" spans="1:10" x14ac:dyDescent="0.35">
      <c r="H59" s="91"/>
      <c r="I59" s="91"/>
      <c r="J59" s="91"/>
    </row>
    <row r="60" spans="1:10" x14ac:dyDescent="0.35">
      <c r="E60" s="92"/>
      <c r="H60" s="91"/>
      <c r="I60" s="91"/>
      <c r="J60" s="91"/>
    </row>
    <row r="61" spans="1:10" x14ac:dyDescent="0.35">
      <c r="E61" s="92"/>
      <c r="H61" s="91"/>
    </row>
    <row r="62" spans="1:10" x14ac:dyDescent="0.35">
      <c r="A62" s="92"/>
      <c r="B62" s="92"/>
      <c r="C62" s="92"/>
      <c r="D62" s="92"/>
      <c r="E62" s="92"/>
      <c r="H62" s="91"/>
    </row>
    <row r="63" spans="1:10" x14ac:dyDescent="0.35">
      <c r="A63" s="92"/>
      <c r="B63" s="92"/>
      <c r="C63" s="92"/>
      <c r="D63" s="92"/>
      <c r="E63" s="92"/>
      <c r="H63" s="91"/>
    </row>
    <row r="64" spans="1:10" x14ac:dyDescent="0.35">
      <c r="A64" s="92"/>
      <c r="B64" s="92"/>
      <c r="C64" s="92"/>
      <c r="D64" s="92"/>
      <c r="E64" s="92"/>
      <c r="H64" s="91"/>
    </row>
    <row r="65" spans="8:8" x14ac:dyDescent="0.35">
      <c r="H65" s="91"/>
    </row>
    <row r="66" spans="8:8" x14ac:dyDescent="0.35">
      <c r="H66" s="91"/>
    </row>
    <row r="67" spans="8:8" x14ac:dyDescent="0.35">
      <c r="H67" s="91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Cam</vt:lpstr>
      <vt:lpstr>CAM</vt:lpstr>
      <vt:lpstr>CAM!Área_de_impresión</vt:lpstr>
      <vt:lpstr>'Est Cam'!Área_de_impresión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dcterms:created xsi:type="dcterms:W3CDTF">2022-09-06T18:49:29Z</dcterms:created>
  <dcterms:modified xsi:type="dcterms:W3CDTF">2022-09-07T19:15:41Z</dcterms:modified>
</cp:coreProperties>
</file>