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008DB0A1-7DD9-48E9-8ABB-8E9C72FACDF3}" xr6:coauthVersionLast="47" xr6:coauthVersionMax="47" xr10:uidLastSave="{00000000-0000-0000-0000-000000000000}"/>
  <bookViews>
    <workbookView xWindow="-120" yWindow="-120" windowWidth="29040" windowHeight="15840" xr2:uid="{C8DB4202-DD7A-434B-8BC7-52469A456D67}"/>
  </bookViews>
  <sheets>
    <sheet name="Est Chis" sheetId="1" r:id="rId1"/>
    <sheet name="CHI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CHIS!$A$1:$F$57</definedName>
    <definedName name="_xlnm.Print_Area" localSheetId="0">'Est Chis'!$A$1:$F$74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7" i="1"/>
  <c r="C16" i="1" s="1"/>
  <c r="D17" i="1"/>
  <c r="E17" i="1"/>
  <c r="C19" i="1"/>
  <c r="F19" i="1"/>
  <c r="B20" i="1"/>
  <c r="C20" i="1"/>
  <c r="D20" i="1"/>
  <c r="D19" i="1" s="1"/>
  <c r="E20" i="1"/>
  <c r="F20" i="1"/>
  <c r="F17" i="1" s="1"/>
  <c r="B21" i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C22" i="1"/>
  <c r="D22" i="1"/>
  <c r="B22" i="1" s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B33" i="1"/>
  <c r="C33" i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B53" i="1"/>
  <c r="C53" i="1"/>
  <c r="D53" i="1"/>
  <c r="E53" i="1"/>
  <c r="F53" i="1"/>
  <c r="B54" i="1"/>
  <c r="B55" i="1"/>
  <c r="B56" i="1"/>
  <c r="B57" i="1"/>
  <c r="B58" i="1"/>
  <c r="B60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59" i="1" l="1"/>
  <c r="B19" i="1"/>
  <c r="E16" i="1"/>
  <c r="E13" i="1" s="1"/>
  <c r="D16" i="1"/>
  <c r="D13" i="1" s="1"/>
  <c r="C13" i="1"/>
  <c r="B16" i="1"/>
  <c r="C15" i="1"/>
  <c r="B15" i="1" s="1"/>
  <c r="B18" i="1"/>
  <c r="F16" i="1"/>
  <c r="F13" i="1" s="1"/>
  <c r="F14" i="1"/>
  <c r="E19" i="1"/>
  <c r="B17" i="1"/>
  <c r="E14" i="1"/>
  <c r="C14" i="1"/>
  <c r="B14" i="1" s="1"/>
  <c r="B13" i="1" l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<sst xmlns="http://schemas.openxmlformats.org/spreadsheetml/2006/main" count="133" uniqueCount="78">
  <si>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</si>
  <si>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</si>
  <si>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</si>
  <si>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</si>
  <si>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</si>
  <si>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</si>
  <si>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</si>
  <si>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</si>
  <si>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</si>
  <si>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</si>
  <si>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</si>
  <si>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</si>
  <si>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</si>
  <si>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</si>
  <si>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</si>
  <si>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</si>
  <si>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</si>
  <si>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</si>
  <si>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</si>
  <si>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</si>
  <si>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</si>
  <si>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</si>
  <si>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</si>
  <si>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</si>
  <si>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</si>
  <si>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</si>
  <si>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</si>
  <si>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</si>
  <si>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</si>
  <si>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</si>
  <si>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</si>
  <si>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</si>
  <si>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</si>
  <si>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</si>
  <si>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</si>
  <si>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</si>
  <si>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</si>
  <si>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</si>
  <si>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Chiapas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</si>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</sst>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2599172E-21ED-44DA-B4DE-68D7A4137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2C499A0C-F379-4213-AACB-150FDAC12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73CEB92-5527-4281-AFC6-CDC076529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4934-1167-4FC0-A70B-9A0344B90B41}">
  <sheetPr codeName="Hoja1">
    <tabColor rgb="FFD4C19C"/>
    <pageSetUpPr fitToPage="1"/>
  </sheetPr>
  <dimension ref="A1:P124"/>
  <sheetViews>
    <sheetView showGridLines="0" showZeros="0" tabSelected="1" workbookViewId="0">
      <selection activeCell="A10" sqref="A10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6" t="s">
        <v>39</v>
      </c>
      <c r="B7" s="146"/>
      <c r="C7" s="146"/>
      <c r="D7" s="146"/>
      <c r="E7" s="146"/>
      <c r="F7" s="146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6" t="s">
        <v>38</v>
      </c>
      <c r="B8" s="146"/>
      <c r="C8" s="146"/>
      <c r="D8" s="146"/>
      <c r="E8" s="146"/>
      <c r="F8" s="146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7" t="s">
        <v>37</v>
      </c>
      <c r="B11" s="149" t="s">
        <v>36</v>
      </c>
      <c r="C11" s="149"/>
      <c r="D11" s="149"/>
      <c r="E11" s="150" t="s">
        <v>35</v>
      </c>
      <c r="F11" s="150" t="s">
        <v>34</v>
      </c>
    </row>
    <row r="12" spans="1:16" ht="15" customHeight="1" x14ac:dyDescent="0.35">
      <c r="A12" s="148"/>
      <c r="B12" s="83" t="s">
        <v>33</v>
      </c>
      <c r="C12" s="83" t="s">
        <v>32</v>
      </c>
      <c r="D12" s="83" t="s">
        <v>31</v>
      </c>
      <c r="E12" s="148"/>
      <c r="F12" s="148"/>
    </row>
    <row r="13" spans="1:16" ht="18" customHeight="1" x14ac:dyDescent="0.35">
      <c r="A13" s="82" t="s">
        <v>30</v>
      </c>
      <c r="B13" s="81">
        <f t="shared" ref="B13:B44" si="0">C13+D13</f>
        <v>1718836</v>
      </c>
      <c r="C13" s="81">
        <f>C16+C62+C68</f>
        <v>852373</v>
      </c>
      <c r="D13" s="81">
        <f>D16+D62+D68</f>
        <v>866463</v>
      </c>
      <c r="E13" s="81">
        <f>E16+E62+E68</f>
        <v>89008</v>
      </c>
      <c r="F13" s="81">
        <f>F16+F62+F68</f>
        <v>20039</v>
      </c>
    </row>
    <row r="14" spans="1:16" ht="18" customHeight="1" x14ac:dyDescent="0.35">
      <c r="A14" s="42" t="s">
        <v>3</v>
      </c>
      <c r="B14" s="41">
        <f t="shared" si="0"/>
        <v>1598692</v>
      </c>
      <c r="C14" s="41">
        <f t="shared" ref="C14:F15" si="1">C17+C66+C71</f>
        <v>787847</v>
      </c>
      <c r="D14" s="41">
        <f t="shared" si="1"/>
        <v>810845</v>
      </c>
      <c r="E14" s="41">
        <f t="shared" si="1"/>
        <v>75379</v>
      </c>
      <c r="F14" s="41">
        <f t="shared" si="1"/>
        <v>19032</v>
      </c>
    </row>
    <row r="15" spans="1:16" ht="18" customHeight="1" x14ac:dyDescent="0.35">
      <c r="A15" s="40" t="s">
        <v>2</v>
      </c>
      <c r="B15" s="39">
        <f t="shared" si="0"/>
        <v>120144</v>
      </c>
      <c r="C15" s="39">
        <f t="shared" si="1"/>
        <v>64526</v>
      </c>
      <c r="D15" s="39">
        <f t="shared" si="1"/>
        <v>55618</v>
      </c>
      <c r="E15" s="39">
        <f t="shared" si="1"/>
        <v>13629</v>
      </c>
      <c r="F15" s="39">
        <f t="shared" si="1"/>
        <v>1007</v>
      </c>
    </row>
    <row r="16" spans="1:16" ht="18" customHeight="1" x14ac:dyDescent="0.35">
      <c r="A16" s="45" t="s">
        <v>29</v>
      </c>
      <c r="B16" s="44">
        <f t="shared" si="0"/>
        <v>1659818</v>
      </c>
      <c r="C16" s="44">
        <f>C17+C18</f>
        <v>819151</v>
      </c>
      <c r="D16" s="44">
        <f>D17+D18</f>
        <v>840667</v>
      </c>
      <c r="E16" s="44">
        <f>E17+E18</f>
        <v>83922</v>
      </c>
      <c r="F16" s="43">
        <f>F17+F18</f>
        <v>19840</v>
      </c>
    </row>
    <row r="17" spans="1:6" ht="18" customHeight="1" x14ac:dyDescent="0.35">
      <c r="A17" s="42" t="s">
        <v>3</v>
      </c>
      <c r="B17" s="41">
        <f t="shared" si="0"/>
        <v>1588042</v>
      </c>
      <c r="C17" s="41">
        <f t="shared" ref="C17:F18" si="2">C20+C50+C57</f>
        <v>782000</v>
      </c>
      <c r="D17" s="41">
        <f t="shared" si="2"/>
        <v>806042</v>
      </c>
      <c r="E17" s="41">
        <f t="shared" si="2"/>
        <v>74710</v>
      </c>
      <c r="F17" s="41">
        <f t="shared" si="2"/>
        <v>19005</v>
      </c>
    </row>
    <row r="18" spans="1:6" ht="18" customHeight="1" x14ac:dyDescent="0.35">
      <c r="A18" s="40" t="s">
        <v>2</v>
      </c>
      <c r="B18" s="39">
        <f t="shared" si="0"/>
        <v>71776</v>
      </c>
      <c r="C18" s="39">
        <f t="shared" si="2"/>
        <v>37151</v>
      </c>
      <c r="D18" s="39">
        <f t="shared" si="2"/>
        <v>34625</v>
      </c>
      <c r="E18" s="39">
        <f t="shared" si="2"/>
        <v>9212</v>
      </c>
      <c r="F18" s="39">
        <f t="shared" si="2"/>
        <v>835</v>
      </c>
    </row>
    <row r="19" spans="1:6" ht="18" customHeight="1" x14ac:dyDescent="0.35">
      <c r="A19" s="80" t="s">
        <v>28</v>
      </c>
      <c r="B19" s="79">
        <f t="shared" si="0"/>
        <v>1369457</v>
      </c>
      <c r="C19" s="79">
        <f>C20+C21</f>
        <v>674456</v>
      </c>
      <c r="D19" s="79">
        <f>D20+D21</f>
        <v>695001</v>
      </c>
      <c r="E19" s="79">
        <f>E20+E21</f>
        <v>61435</v>
      </c>
      <c r="F19" s="78">
        <f>F20+F21</f>
        <v>18570</v>
      </c>
    </row>
    <row r="20" spans="1:6" ht="18" customHeight="1" x14ac:dyDescent="0.35">
      <c r="A20" s="42" t="s">
        <v>3</v>
      </c>
      <c r="B20" s="41">
        <f t="shared" si="0"/>
        <v>1330696</v>
      </c>
      <c r="C20" s="41">
        <f t="shared" ref="C20:F21" si="3">C25+C31+C37+C43</f>
        <v>655204</v>
      </c>
      <c r="D20" s="41">
        <f t="shared" si="3"/>
        <v>675492</v>
      </c>
      <c r="E20" s="41">
        <f t="shared" si="3"/>
        <v>58109</v>
      </c>
      <c r="F20" s="77">
        <f t="shared" si="3"/>
        <v>17982</v>
      </c>
    </row>
    <row r="21" spans="1:6" ht="18" customHeight="1" x14ac:dyDescent="0.35">
      <c r="A21" s="76" t="s">
        <v>2</v>
      </c>
      <c r="B21" s="75">
        <f t="shared" si="0"/>
        <v>38761</v>
      </c>
      <c r="C21" s="75">
        <f t="shared" si="3"/>
        <v>19252</v>
      </c>
      <c r="D21" s="75">
        <f t="shared" si="3"/>
        <v>19509</v>
      </c>
      <c r="E21" s="75">
        <f t="shared" si="3"/>
        <v>3326</v>
      </c>
      <c r="F21" s="74">
        <f t="shared" si="3"/>
        <v>588</v>
      </c>
    </row>
    <row r="22" spans="1:6" ht="18" customHeight="1" x14ac:dyDescent="0.35">
      <c r="A22" s="69" t="s">
        <v>27</v>
      </c>
      <c r="B22" s="68">
        <f t="shared" si="0"/>
        <v>6223</v>
      </c>
      <c r="C22" s="68">
        <f>C23+C24</f>
        <v>3037</v>
      </c>
      <c r="D22" s="68">
        <f>D23+D24</f>
        <v>3186</v>
      </c>
      <c r="E22" s="68">
        <f>E23+E24</f>
        <v>355</v>
      </c>
      <c r="F22" s="67">
        <f>F23+F24</f>
        <v>262</v>
      </c>
    </row>
    <row r="23" spans="1:6" ht="18" customHeight="1" x14ac:dyDescent="0.35">
      <c r="A23" s="72" t="s">
        <v>23</v>
      </c>
      <c r="B23" s="49">
        <f t="shared" si="0"/>
        <v>1686</v>
      </c>
      <c r="C23" s="49">
        <v>814</v>
      </c>
      <c r="D23" s="49">
        <v>872</v>
      </c>
      <c r="E23" s="49">
        <v>154</v>
      </c>
      <c r="F23" s="9">
        <v>61</v>
      </c>
    </row>
    <row r="24" spans="1:6" ht="18" customHeight="1" x14ac:dyDescent="0.35">
      <c r="A24" s="73" t="s">
        <v>22</v>
      </c>
      <c r="B24" s="50">
        <f t="shared" si="0"/>
        <v>4537</v>
      </c>
      <c r="C24" s="50">
        <v>2223</v>
      </c>
      <c r="D24" s="50">
        <v>2314</v>
      </c>
      <c r="E24" s="50">
        <v>201</v>
      </c>
      <c r="F24" s="46">
        <v>201</v>
      </c>
    </row>
    <row r="25" spans="1:6" ht="18" customHeight="1" x14ac:dyDescent="0.35">
      <c r="A25" s="36" t="s">
        <v>3</v>
      </c>
      <c r="B25" s="11">
        <f t="shared" si="0"/>
        <v>5065</v>
      </c>
      <c r="C25" s="11">
        <v>2476</v>
      </c>
      <c r="D25" s="11">
        <v>2589</v>
      </c>
      <c r="E25" s="11">
        <v>255</v>
      </c>
      <c r="F25" s="9">
        <v>244</v>
      </c>
    </row>
    <row r="26" spans="1:6" ht="18" customHeight="1" x14ac:dyDescent="0.35">
      <c r="A26" s="58" t="s">
        <v>2</v>
      </c>
      <c r="B26" s="57">
        <f t="shared" si="0"/>
        <v>1158</v>
      </c>
      <c r="C26" s="57">
        <v>561</v>
      </c>
      <c r="D26" s="57">
        <v>597</v>
      </c>
      <c r="E26" s="57">
        <v>100</v>
      </c>
      <c r="F26" s="56">
        <v>18</v>
      </c>
    </row>
    <row r="27" spans="1:6" ht="18" customHeight="1" x14ac:dyDescent="0.35">
      <c r="A27" s="69" t="s">
        <v>26</v>
      </c>
      <c r="B27" s="68">
        <f t="shared" si="0"/>
        <v>277389</v>
      </c>
      <c r="C27" s="68">
        <f>C28+C29+C30</f>
        <v>137732</v>
      </c>
      <c r="D27" s="68">
        <f>D28+D29+D30</f>
        <v>139657</v>
      </c>
      <c r="E27" s="68">
        <f>E28+E29+E30</f>
        <v>13492</v>
      </c>
      <c r="F27" s="67">
        <f>F28+F29+F30</f>
        <v>7259</v>
      </c>
    </row>
    <row r="28" spans="1:6" ht="18" customHeight="1" x14ac:dyDescent="0.35">
      <c r="A28" s="72" t="s">
        <v>25</v>
      </c>
      <c r="B28" s="49">
        <f t="shared" si="0"/>
        <v>156403</v>
      </c>
      <c r="C28" s="49">
        <v>77629</v>
      </c>
      <c r="D28" s="49">
        <v>78774</v>
      </c>
      <c r="E28" s="49">
        <v>7285</v>
      </c>
      <c r="F28" s="9">
        <v>2770</v>
      </c>
    </row>
    <row r="29" spans="1:6" ht="18" customHeight="1" x14ac:dyDescent="0.35">
      <c r="A29" s="73" t="s">
        <v>22</v>
      </c>
      <c r="B29" s="50">
        <f t="shared" si="0"/>
        <v>94196</v>
      </c>
      <c r="C29" s="50">
        <v>46799</v>
      </c>
      <c r="D29" s="50">
        <v>47397</v>
      </c>
      <c r="E29" s="50">
        <v>3403</v>
      </c>
      <c r="F29" s="46">
        <v>2024</v>
      </c>
    </row>
    <row r="30" spans="1:6" ht="18" customHeight="1" x14ac:dyDescent="0.35">
      <c r="A30" s="72" t="s">
        <v>21</v>
      </c>
      <c r="B30" s="49">
        <f t="shared" si="0"/>
        <v>26790</v>
      </c>
      <c r="C30" s="49">
        <v>13304</v>
      </c>
      <c r="D30" s="49">
        <v>13486</v>
      </c>
      <c r="E30" s="49">
        <v>2804</v>
      </c>
      <c r="F30" s="9">
        <v>2465</v>
      </c>
    </row>
    <row r="31" spans="1:6" ht="18" customHeight="1" x14ac:dyDescent="0.35">
      <c r="A31" s="71" t="s">
        <v>3</v>
      </c>
      <c r="B31" s="66">
        <f t="shared" si="0"/>
        <v>269815</v>
      </c>
      <c r="C31" s="66">
        <v>133917</v>
      </c>
      <c r="D31" s="66">
        <v>135898</v>
      </c>
      <c r="E31" s="66">
        <v>12897</v>
      </c>
      <c r="F31" s="70">
        <v>7020</v>
      </c>
    </row>
    <row r="32" spans="1:6" ht="18" customHeight="1" x14ac:dyDescent="0.35">
      <c r="A32" s="31" t="s">
        <v>2</v>
      </c>
      <c r="B32" s="30">
        <f t="shared" si="0"/>
        <v>7574</v>
      </c>
      <c r="C32" s="30">
        <v>3815</v>
      </c>
      <c r="D32" s="30">
        <v>3759</v>
      </c>
      <c r="E32" s="30">
        <v>595</v>
      </c>
      <c r="F32" s="27">
        <v>239</v>
      </c>
    </row>
    <row r="33" spans="1:6" ht="18" customHeight="1" x14ac:dyDescent="0.35">
      <c r="A33" s="69" t="s">
        <v>24</v>
      </c>
      <c r="B33" s="68">
        <f t="shared" si="0"/>
        <v>793492</v>
      </c>
      <c r="C33" s="68">
        <f>C34+C35+C36</f>
        <v>390897</v>
      </c>
      <c r="D33" s="68">
        <f>D34+D35+D36</f>
        <v>402595</v>
      </c>
      <c r="E33" s="68">
        <f>E34+E35+E36</f>
        <v>31676</v>
      </c>
      <c r="F33" s="67">
        <f>F34+F35+F36</f>
        <v>8417</v>
      </c>
    </row>
    <row r="34" spans="1:6" ht="18" customHeight="1" x14ac:dyDescent="0.35">
      <c r="A34" s="72" t="s">
        <v>23</v>
      </c>
      <c r="B34" s="49">
        <f t="shared" si="0"/>
        <v>509589</v>
      </c>
      <c r="C34" s="49">
        <v>250688</v>
      </c>
      <c r="D34" s="49">
        <v>258901</v>
      </c>
      <c r="E34" s="49">
        <v>20433</v>
      </c>
      <c r="F34" s="9">
        <v>3681</v>
      </c>
    </row>
    <row r="35" spans="1:6" ht="18" customHeight="1" x14ac:dyDescent="0.35">
      <c r="A35" s="73" t="s">
        <v>22</v>
      </c>
      <c r="B35" s="50">
        <f t="shared" si="0"/>
        <v>255517</v>
      </c>
      <c r="C35" s="50">
        <v>126264</v>
      </c>
      <c r="D35" s="50">
        <v>129253</v>
      </c>
      <c r="E35" s="50">
        <v>8743</v>
      </c>
      <c r="F35" s="46">
        <v>2829</v>
      </c>
    </row>
    <row r="36" spans="1:6" ht="18" customHeight="1" x14ac:dyDescent="0.35">
      <c r="A36" s="72" t="s">
        <v>21</v>
      </c>
      <c r="B36" s="49">
        <f t="shared" si="0"/>
        <v>28386</v>
      </c>
      <c r="C36" s="49">
        <v>13945</v>
      </c>
      <c r="D36" s="49">
        <v>14441</v>
      </c>
      <c r="E36" s="49">
        <v>2500</v>
      </c>
      <c r="F36" s="9">
        <v>1907</v>
      </c>
    </row>
    <row r="37" spans="1:6" ht="18" customHeight="1" x14ac:dyDescent="0.35">
      <c r="A37" s="71" t="s">
        <v>3</v>
      </c>
      <c r="B37" s="66">
        <f t="shared" si="0"/>
        <v>773384</v>
      </c>
      <c r="C37" s="66">
        <v>380984</v>
      </c>
      <c r="D37" s="66">
        <v>392400</v>
      </c>
      <c r="E37" s="66">
        <v>30492</v>
      </c>
      <c r="F37" s="70">
        <v>8220</v>
      </c>
    </row>
    <row r="38" spans="1:6" ht="18" customHeight="1" x14ac:dyDescent="0.35">
      <c r="A38" s="31" t="s">
        <v>2</v>
      </c>
      <c r="B38" s="30">
        <f t="shared" si="0"/>
        <v>20108</v>
      </c>
      <c r="C38" s="30">
        <v>9913</v>
      </c>
      <c r="D38" s="30">
        <v>10195</v>
      </c>
      <c r="E38" s="30">
        <v>1184</v>
      </c>
      <c r="F38" s="27">
        <v>197</v>
      </c>
    </row>
    <row r="39" spans="1:6" ht="18" customHeight="1" x14ac:dyDescent="0.35">
      <c r="A39" s="69" t="s">
        <v>20</v>
      </c>
      <c r="B39" s="68">
        <f t="shared" si="0"/>
        <v>292353</v>
      </c>
      <c r="C39" s="68">
        <f>C40+C41+C42</f>
        <v>142790</v>
      </c>
      <c r="D39" s="68">
        <f>D40+D41+D42</f>
        <v>149563</v>
      </c>
      <c r="E39" s="68">
        <f>E40+E41+E42</f>
        <v>15912</v>
      </c>
      <c r="F39" s="67">
        <f>F40+F41+F42</f>
        <v>2632</v>
      </c>
    </row>
    <row r="40" spans="1:6" ht="18" customHeight="1" x14ac:dyDescent="0.35">
      <c r="A40" s="61" t="s">
        <v>19</v>
      </c>
      <c r="B40" s="11">
        <f t="shared" si="0"/>
        <v>93576</v>
      </c>
      <c r="C40" s="49">
        <v>46703</v>
      </c>
      <c r="D40" s="49">
        <v>46873</v>
      </c>
      <c r="E40" s="11">
        <v>6841</v>
      </c>
      <c r="F40" s="9">
        <v>964</v>
      </c>
    </row>
    <row r="41" spans="1:6" ht="18" customHeight="1" x14ac:dyDescent="0.35">
      <c r="A41" s="62" t="s">
        <v>18</v>
      </c>
      <c r="B41" s="50">
        <f t="shared" si="0"/>
        <v>136118</v>
      </c>
      <c r="C41" s="50">
        <v>65719</v>
      </c>
      <c r="D41" s="50">
        <v>70399</v>
      </c>
      <c r="E41" s="50">
        <v>5916</v>
      </c>
      <c r="F41" s="46">
        <v>1484</v>
      </c>
    </row>
    <row r="42" spans="1:6" ht="18" customHeight="1" x14ac:dyDescent="0.35">
      <c r="A42" s="61" t="s">
        <v>17</v>
      </c>
      <c r="B42" s="49">
        <f t="shared" si="0"/>
        <v>62659</v>
      </c>
      <c r="C42" s="49">
        <v>30368</v>
      </c>
      <c r="D42" s="49">
        <v>32291</v>
      </c>
      <c r="E42" s="49">
        <v>3155</v>
      </c>
      <c r="F42" s="9">
        <v>184</v>
      </c>
    </row>
    <row r="43" spans="1:6" ht="18" customHeight="1" x14ac:dyDescent="0.35">
      <c r="A43" s="62" t="s">
        <v>3</v>
      </c>
      <c r="B43" s="66">
        <f t="shared" si="0"/>
        <v>282432</v>
      </c>
      <c r="C43" s="47">
        <v>137827</v>
      </c>
      <c r="D43" s="47">
        <v>144605</v>
      </c>
      <c r="E43" s="47">
        <v>14465</v>
      </c>
      <c r="F43" s="46">
        <v>2498</v>
      </c>
    </row>
    <row r="44" spans="1:6" ht="18" customHeight="1" x14ac:dyDescent="0.35">
      <c r="A44" s="31" t="s">
        <v>2</v>
      </c>
      <c r="B44" s="30">
        <f t="shared" si="0"/>
        <v>9921</v>
      </c>
      <c r="C44" s="30">
        <v>4963</v>
      </c>
      <c r="D44" s="30">
        <v>4958</v>
      </c>
      <c r="E44" s="30">
        <v>1447</v>
      </c>
      <c r="F44" s="27">
        <v>134</v>
      </c>
    </row>
    <row r="45" spans="1:6" ht="18" customHeight="1" x14ac:dyDescent="0.35">
      <c r="A45" s="65" t="s">
        <v>16</v>
      </c>
      <c r="B45" s="64">
        <f t="shared" ref="B45:B72" si="4">C45+D45</f>
        <v>208983</v>
      </c>
      <c r="C45" s="64">
        <f>C46+C47+C48+C49</f>
        <v>103804</v>
      </c>
      <c r="D45" s="64">
        <f>D46+D47+D48+D49</f>
        <v>105179</v>
      </c>
      <c r="E45" s="64">
        <f>E46+E47+E48+E49</f>
        <v>14650</v>
      </c>
      <c r="F45" s="63">
        <f>F46+F47+F48+F49</f>
        <v>1050</v>
      </c>
    </row>
    <row r="46" spans="1:6" ht="18" customHeight="1" x14ac:dyDescent="0.35">
      <c r="A46" s="61" t="s">
        <v>9</v>
      </c>
      <c r="B46" s="59">
        <f t="shared" si="4"/>
        <v>156562</v>
      </c>
      <c r="C46" s="49">
        <v>77154</v>
      </c>
      <c r="D46" s="49">
        <v>79408</v>
      </c>
      <c r="E46" s="49">
        <v>8462</v>
      </c>
      <c r="F46" s="9">
        <v>890</v>
      </c>
    </row>
    <row r="47" spans="1:6" ht="18" customHeight="1" x14ac:dyDescent="0.35">
      <c r="A47" s="62" t="s">
        <v>8</v>
      </c>
      <c r="B47" s="47">
        <f t="shared" si="4"/>
        <v>43628</v>
      </c>
      <c r="C47" s="50">
        <v>21649</v>
      </c>
      <c r="D47" s="50">
        <v>21979</v>
      </c>
      <c r="E47" s="50">
        <v>4709</v>
      </c>
      <c r="F47" s="46">
        <v>138</v>
      </c>
    </row>
    <row r="48" spans="1:6" ht="18" customHeight="1" x14ac:dyDescent="0.35">
      <c r="A48" s="61" t="s">
        <v>15</v>
      </c>
      <c r="B48" s="11">
        <f t="shared" si="4"/>
        <v>8499</v>
      </c>
      <c r="C48" s="11">
        <v>4772</v>
      </c>
      <c r="D48" s="11">
        <v>3727</v>
      </c>
      <c r="E48" s="11">
        <v>1455</v>
      </c>
      <c r="F48" s="9">
        <v>20</v>
      </c>
    </row>
    <row r="49" spans="1:6" ht="18" customHeight="1" x14ac:dyDescent="0.35">
      <c r="A49" s="48" t="s">
        <v>7</v>
      </c>
      <c r="B49" s="47">
        <f t="shared" si="4"/>
        <v>294</v>
      </c>
      <c r="C49" s="50">
        <v>229</v>
      </c>
      <c r="D49" s="60">
        <v>65</v>
      </c>
      <c r="E49" s="47">
        <v>24</v>
      </c>
      <c r="F49" s="46">
        <v>2</v>
      </c>
    </row>
    <row r="50" spans="1:6" ht="18" customHeight="1" x14ac:dyDescent="0.35">
      <c r="A50" s="36" t="s">
        <v>3</v>
      </c>
      <c r="B50" s="59">
        <f t="shared" si="4"/>
        <v>197620</v>
      </c>
      <c r="C50" s="59">
        <v>97788</v>
      </c>
      <c r="D50" s="59">
        <v>99832</v>
      </c>
      <c r="E50" s="59">
        <v>11917</v>
      </c>
      <c r="F50" s="9">
        <v>914</v>
      </c>
    </row>
    <row r="51" spans="1:6" ht="18" customHeight="1" x14ac:dyDescent="0.35">
      <c r="A51" s="58" t="s">
        <v>2</v>
      </c>
      <c r="B51" s="57">
        <f t="shared" si="4"/>
        <v>11363</v>
      </c>
      <c r="C51" s="57">
        <v>6016</v>
      </c>
      <c r="D51" s="57">
        <v>5347</v>
      </c>
      <c r="E51" s="57">
        <v>2733</v>
      </c>
      <c r="F51" s="56">
        <v>136</v>
      </c>
    </row>
    <row r="52" spans="1:6" ht="18" customHeight="1" x14ac:dyDescent="0.35">
      <c r="A52" s="55" t="s">
        <v>14</v>
      </c>
      <c r="B52" s="54">
        <f t="shared" si="4"/>
        <v>81378</v>
      </c>
      <c r="C52" s="54">
        <f>C54+C55+C56</f>
        <v>40891</v>
      </c>
      <c r="D52" s="54">
        <f>D54+D55+D56</f>
        <v>40487</v>
      </c>
      <c r="E52" s="54">
        <f>E54+E55+E56</f>
        <v>7837</v>
      </c>
      <c r="F52" s="53">
        <f>F57+F58</f>
        <v>220</v>
      </c>
    </row>
    <row r="53" spans="1:6" ht="18" customHeight="1" x14ac:dyDescent="0.35">
      <c r="A53" s="48" t="s">
        <v>5</v>
      </c>
      <c r="B53" s="47">
        <f t="shared" si="4"/>
        <v>76893</v>
      </c>
      <c r="C53" s="50">
        <f>C54+C55</f>
        <v>38533</v>
      </c>
      <c r="D53" s="47">
        <f>D54+D55</f>
        <v>38360</v>
      </c>
      <c r="E53" s="47">
        <f>E54+E55</f>
        <v>6704</v>
      </c>
      <c r="F53" s="46">
        <f>F54+F55</f>
        <v>197</v>
      </c>
    </row>
    <row r="54" spans="1:6" ht="18" customHeight="1" x14ac:dyDescent="0.35">
      <c r="A54" s="52" t="s">
        <v>13</v>
      </c>
      <c r="B54" s="11">
        <f t="shared" si="4"/>
        <v>4530</v>
      </c>
      <c r="C54" s="49">
        <v>2808</v>
      </c>
      <c r="D54" s="11">
        <v>1722</v>
      </c>
      <c r="E54" s="11">
        <v>472</v>
      </c>
      <c r="F54" s="9">
        <v>19</v>
      </c>
    </row>
    <row r="55" spans="1:6" ht="18" customHeight="1" x14ac:dyDescent="0.35">
      <c r="A55" s="51" t="s">
        <v>12</v>
      </c>
      <c r="B55" s="47">
        <f t="shared" si="4"/>
        <v>72363</v>
      </c>
      <c r="C55" s="50">
        <v>35725</v>
      </c>
      <c r="D55" s="47">
        <v>36638</v>
      </c>
      <c r="E55" s="47">
        <v>6232</v>
      </c>
      <c r="F55" s="46">
        <v>178</v>
      </c>
    </row>
    <row r="56" spans="1:6" ht="18" customHeight="1" x14ac:dyDescent="0.35">
      <c r="A56" s="36" t="s">
        <v>4</v>
      </c>
      <c r="B56" s="11">
        <f t="shared" si="4"/>
        <v>4485</v>
      </c>
      <c r="C56" s="49">
        <v>2358</v>
      </c>
      <c r="D56" s="11">
        <v>2127</v>
      </c>
      <c r="E56" s="11">
        <v>1133</v>
      </c>
      <c r="F56" s="9">
        <v>80</v>
      </c>
    </row>
    <row r="57" spans="1:6" ht="18" customHeight="1" x14ac:dyDescent="0.35">
      <c r="A57" s="48" t="s">
        <v>3</v>
      </c>
      <c r="B57" s="47">
        <f t="shared" si="4"/>
        <v>59726</v>
      </c>
      <c r="C57" s="47">
        <v>29008</v>
      </c>
      <c r="D57" s="47">
        <v>30718</v>
      </c>
      <c r="E57" s="47">
        <v>4684</v>
      </c>
      <c r="F57" s="46">
        <v>109</v>
      </c>
    </row>
    <row r="58" spans="1:6" ht="18" customHeight="1" x14ac:dyDescent="0.35">
      <c r="A58" s="31" t="s">
        <v>2</v>
      </c>
      <c r="B58" s="29">
        <f t="shared" si="4"/>
        <v>21652</v>
      </c>
      <c r="C58" s="30">
        <v>11883</v>
      </c>
      <c r="D58" s="30">
        <v>9769</v>
      </c>
      <c r="E58" s="30">
        <v>3153</v>
      </c>
      <c r="F58" s="27">
        <v>111</v>
      </c>
    </row>
    <row r="59" spans="1:6" ht="18" customHeight="1" x14ac:dyDescent="0.35">
      <c r="A59" s="45" t="s">
        <v>11</v>
      </c>
      <c r="B59" s="44">
        <f t="shared" si="4"/>
        <v>59018</v>
      </c>
      <c r="C59" s="44">
        <f>C60+C61</f>
        <v>33222</v>
      </c>
      <c r="D59" s="44">
        <f>D60+D61</f>
        <v>25796</v>
      </c>
      <c r="E59" s="44">
        <f>E60+E61</f>
        <v>5086</v>
      </c>
      <c r="F59" s="43">
        <f>F60+F61</f>
        <v>199</v>
      </c>
    </row>
    <row r="60" spans="1:6" ht="18" customHeight="1" x14ac:dyDescent="0.35">
      <c r="A60" s="42" t="s">
        <v>3</v>
      </c>
      <c r="B60" s="41">
        <f t="shared" si="4"/>
        <v>10650</v>
      </c>
      <c r="C60" s="41">
        <f t="shared" ref="C60:F61" si="5">C66+C71</f>
        <v>5847</v>
      </c>
      <c r="D60" s="41">
        <f t="shared" si="5"/>
        <v>4803</v>
      </c>
      <c r="E60" s="41">
        <f t="shared" si="5"/>
        <v>669</v>
      </c>
      <c r="F60" s="41">
        <f t="shared" si="5"/>
        <v>27</v>
      </c>
    </row>
    <row r="61" spans="1:6" ht="18" customHeight="1" x14ac:dyDescent="0.35">
      <c r="A61" s="40" t="s">
        <v>2</v>
      </c>
      <c r="B61" s="39">
        <f t="shared" si="4"/>
        <v>48368</v>
      </c>
      <c r="C61" s="39">
        <f t="shared" si="5"/>
        <v>27375</v>
      </c>
      <c r="D61" s="39">
        <f t="shared" si="5"/>
        <v>20993</v>
      </c>
      <c r="E61" s="39">
        <f t="shared" si="5"/>
        <v>4417</v>
      </c>
      <c r="F61" s="39">
        <f t="shared" si="5"/>
        <v>172</v>
      </c>
    </row>
    <row r="62" spans="1:6" x14ac:dyDescent="0.35">
      <c r="A62" s="26" t="s">
        <v>10</v>
      </c>
      <c r="B62" s="25">
        <f t="shared" si="4"/>
        <v>4533</v>
      </c>
      <c r="C62" s="25">
        <f>C63+C64+C65</f>
        <v>2424</v>
      </c>
      <c r="D62" s="25">
        <f>D63+D64+D65</f>
        <v>2109</v>
      </c>
      <c r="E62" s="25">
        <f>E63+E64+E65</f>
        <v>271</v>
      </c>
      <c r="F62" s="24">
        <f>F66+F67</f>
        <v>10</v>
      </c>
    </row>
    <row r="63" spans="1:6" x14ac:dyDescent="0.35">
      <c r="A63" s="38" t="s">
        <v>9</v>
      </c>
      <c r="B63" s="21">
        <f t="shared" si="4"/>
        <v>4533</v>
      </c>
      <c r="C63" s="22">
        <v>2424</v>
      </c>
      <c r="D63" s="21">
        <v>2109</v>
      </c>
      <c r="E63" s="20">
        <v>271</v>
      </c>
      <c r="F63" s="19">
        <v>10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4485</v>
      </c>
      <c r="C66" s="15">
        <v>2385</v>
      </c>
      <c r="D66" s="15">
        <v>2100</v>
      </c>
      <c r="E66" s="32">
        <v>263</v>
      </c>
      <c r="F66" s="13">
        <v>9</v>
      </c>
    </row>
    <row r="67" spans="1:15" x14ac:dyDescent="0.35">
      <c r="A67" s="31" t="s">
        <v>2</v>
      </c>
      <c r="B67" s="29">
        <f t="shared" si="4"/>
        <v>48</v>
      </c>
      <c r="C67" s="30">
        <v>39</v>
      </c>
      <c r="D67" s="29">
        <v>9</v>
      </c>
      <c r="E67" s="28">
        <v>8</v>
      </c>
      <c r="F67" s="27">
        <v>1</v>
      </c>
    </row>
    <row r="68" spans="1:15" x14ac:dyDescent="0.35">
      <c r="A68" s="26" t="s">
        <v>6</v>
      </c>
      <c r="B68" s="25">
        <f t="shared" si="4"/>
        <v>54485</v>
      </c>
      <c r="C68" s="25">
        <f>C69+C70</f>
        <v>30798</v>
      </c>
      <c r="D68" s="25">
        <f>D69+D70</f>
        <v>23687</v>
      </c>
      <c r="E68" s="25">
        <f>E71+E72</f>
        <v>4815</v>
      </c>
      <c r="F68" s="24">
        <f>F71+F72</f>
        <v>189</v>
      </c>
    </row>
    <row r="69" spans="1:15" x14ac:dyDescent="0.35">
      <c r="A69" s="23" t="s">
        <v>5</v>
      </c>
      <c r="B69" s="21">
        <f t="shared" si="4"/>
        <v>43086</v>
      </c>
      <c r="C69" s="22">
        <v>23723</v>
      </c>
      <c r="D69" s="21">
        <v>19363</v>
      </c>
      <c r="E69" s="20">
        <v>3578</v>
      </c>
      <c r="F69" s="19">
        <v>161</v>
      </c>
      <c r="G69" s="18"/>
    </row>
    <row r="70" spans="1:15" x14ac:dyDescent="0.35">
      <c r="A70" s="17" t="s">
        <v>4</v>
      </c>
      <c r="B70" s="15">
        <f t="shared" si="4"/>
        <v>11399</v>
      </c>
      <c r="C70" s="16">
        <v>7075</v>
      </c>
      <c r="D70" s="15">
        <v>4324</v>
      </c>
      <c r="E70" s="14">
        <v>1237</v>
      </c>
      <c r="F70" s="13">
        <v>98</v>
      </c>
    </row>
    <row r="71" spans="1:15" x14ac:dyDescent="0.35">
      <c r="A71" s="12" t="s">
        <v>3</v>
      </c>
      <c r="B71" s="11">
        <f t="shared" si="4"/>
        <v>6165</v>
      </c>
      <c r="C71" s="11">
        <v>3462</v>
      </c>
      <c r="D71" s="11">
        <v>2703</v>
      </c>
      <c r="E71" s="10">
        <v>406</v>
      </c>
      <c r="F71" s="9">
        <v>18</v>
      </c>
    </row>
    <row r="72" spans="1:15" x14ac:dyDescent="0.35">
      <c r="A72" s="8" t="s">
        <v>2</v>
      </c>
      <c r="B72" s="6">
        <f t="shared" si="4"/>
        <v>48320</v>
      </c>
      <c r="C72" s="7">
        <v>27336</v>
      </c>
      <c r="D72" s="6">
        <v>20984</v>
      </c>
      <c r="E72" s="5">
        <v>4409</v>
      </c>
      <c r="F72" s="4">
        <v>171</v>
      </c>
    </row>
    <row r="73" spans="1:15" x14ac:dyDescent="0.35">
      <c r="F73" s="3" t="s">
        <v>1</v>
      </c>
    </row>
    <row r="74" spans="1:15" ht="41.1" customHeight="1" x14ac:dyDescent="0.35">
      <c r="A74" s="145" t="s">
        <v>0</v>
      </c>
      <c r="B74" s="145"/>
      <c r="C74" s="145"/>
      <c r="D74" s="145"/>
      <c r="E74" s="145"/>
      <c r="F74" s="145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AEB7-3951-47B4-88A0-44D1FEC80ED2}">
  <sheetPr codeName="Hoja2">
    <tabColor rgb="FFD4C19C"/>
    <pageSetUpPr fitToPage="1"/>
  </sheetPr>
  <dimension ref="A1:K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9" t="s">
        <v>29</v>
      </c>
      <c r="B7" s="139"/>
      <c r="C7" s="139"/>
      <c r="D7" s="139"/>
      <c r="E7" s="139"/>
      <c r="F7" s="139"/>
      <c r="H7" s="2"/>
      <c r="I7" s="2"/>
    </row>
    <row r="8" spans="1:10" s="1" customFormat="1" ht="15.75" customHeight="1" x14ac:dyDescent="0.35">
      <c r="A8" s="139" t="s">
        <v>76</v>
      </c>
      <c r="B8" s="139"/>
      <c r="C8" s="139"/>
      <c r="D8" s="139"/>
      <c r="E8" s="139"/>
      <c r="F8" s="139"/>
      <c r="H8" s="2"/>
      <c r="I8" s="2"/>
    </row>
    <row r="9" spans="1:10" s="1" customFormat="1" ht="3" customHeight="1" x14ac:dyDescent="0.35">
      <c r="A9" s="144"/>
      <c r="B9" s="143"/>
      <c r="C9" s="142"/>
      <c r="D9" s="141"/>
      <c r="E9" s="142"/>
      <c r="F9" s="141"/>
      <c r="H9" s="138"/>
      <c r="I9" s="2"/>
    </row>
    <row r="10" spans="1:10" s="1" customFormat="1" ht="15.75" customHeight="1" x14ac:dyDescent="0.35">
      <c r="A10" s="140" t="s">
        <v>38</v>
      </c>
      <c r="B10" s="140"/>
      <c r="C10" s="139"/>
      <c r="D10" s="139"/>
      <c r="E10" s="139"/>
      <c r="F10" s="139"/>
      <c r="H10" s="138"/>
      <c r="I10" s="2"/>
    </row>
    <row r="11" spans="1:10" ht="18" customHeight="1" x14ac:dyDescent="0.35">
      <c r="A11" s="151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2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7"/>
    </row>
    <row r="14" spans="1:10" x14ac:dyDescent="0.35">
      <c r="A14" s="104" t="s">
        <v>69</v>
      </c>
      <c r="B14" s="103">
        <v>94.350896066411636</v>
      </c>
      <c r="C14" s="103">
        <v>92.690094265215421</v>
      </c>
      <c r="D14" s="102">
        <v>90.548895792070439</v>
      </c>
      <c r="E14" s="101">
        <v>92.87316895216992</v>
      </c>
      <c r="F14" s="100">
        <v>92.175076705359459</v>
      </c>
      <c r="H14" s="116"/>
      <c r="I14" s="116"/>
      <c r="J14" s="116"/>
    </row>
    <row r="15" spans="1:10" x14ac:dyDescent="0.35">
      <c r="A15" s="109" t="s">
        <v>68</v>
      </c>
      <c r="B15" s="108">
        <v>93.373257230966487</v>
      </c>
      <c r="C15" s="108">
        <v>91.924903314240964</v>
      </c>
      <c r="D15" s="107">
        <v>89.822984263753895</v>
      </c>
      <c r="E15" s="106">
        <v>92.106468963472793</v>
      </c>
      <c r="F15" s="105">
        <v>91.436409983971117</v>
      </c>
      <c r="H15" s="87"/>
      <c r="I15" s="87"/>
      <c r="J15" s="87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7"/>
      <c r="I16" s="87"/>
      <c r="J16" s="87"/>
    </row>
    <row r="17" spans="1:11" x14ac:dyDescent="0.35">
      <c r="A17" s="104" t="s">
        <v>67</v>
      </c>
      <c r="B17" s="103">
        <v>60.459717109395491</v>
      </c>
      <c r="C17" s="103">
        <v>58.987196910092266</v>
      </c>
      <c r="D17" s="102">
        <v>38.580942141638275</v>
      </c>
      <c r="E17" s="101">
        <v>61.337994597171466</v>
      </c>
      <c r="F17" s="100">
        <v>48.361513668823143</v>
      </c>
      <c r="H17" s="87"/>
      <c r="I17" s="116"/>
      <c r="J17" s="116"/>
      <c r="K17" s="125"/>
    </row>
    <row r="18" spans="1:11" x14ac:dyDescent="0.35">
      <c r="A18" s="109" t="s">
        <v>66</v>
      </c>
      <c r="B18" s="108">
        <v>79.796275614064271</v>
      </c>
      <c r="C18" s="108">
        <v>79.578222509145689</v>
      </c>
      <c r="D18" s="107">
        <v>77.998743134706629</v>
      </c>
      <c r="E18" s="106">
        <v>85.582154949213304</v>
      </c>
      <c r="F18" s="105">
        <v>88.525570726115859</v>
      </c>
      <c r="H18" s="87"/>
      <c r="I18" s="116"/>
      <c r="J18" s="116"/>
      <c r="K18" s="125"/>
    </row>
    <row r="19" spans="1:11" x14ac:dyDescent="0.35">
      <c r="A19" s="104" t="s">
        <v>65</v>
      </c>
      <c r="B19" s="103">
        <v>85.17082588261357</v>
      </c>
      <c r="C19" s="103">
        <v>81.452764903815634</v>
      </c>
      <c r="D19" s="102">
        <v>73.121669901048492</v>
      </c>
      <c r="E19" s="101">
        <v>81.499788391053329</v>
      </c>
      <c r="F19" s="100">
        <v>77.265666530891224</v>
      </c>
      <c r="H19" s="87"/>
      <c r="I19" s="116"/>
      <c r="J19" s="116"/>
      <c r="K19" s="125"/>
    </row>
    <row r="20" spans="1:11" x14ac:dyDescent="0.35">
      <c r="A20" s="109" t="s">
        <v>64</v>
      </c>
      <c r="B20" s="108">
        <v>75.164372846240042</v>
      </c>
      <c r="C20" s="108">
        <v>73.337291217208318</v>
      </c>
      <c r="D20" s="107">
        <v>63.307350306076884</v>
      </c>
      <c r="E20" s="106">
        <v>76.122628884593325</v>
      </c>
      <c r="F20" s="105">
        <v>71.448553833817613</v>
      </c>
      <c r="H20" s="87"/>
      <c r="I20" s="116"/>
      <c r="J20" s="116"/>
      <c r="K20" s="125"/>
    </row>
    <row r="21" spans="1:11" x14ac:dyDescent="0.35">
      <c r="A21" s="104" t="s">
        <v>63</v>
      </c>
      <c r="B21" s="103">
        <v>75.366271326187601</v>
      </c>
      <c r="C21" s="103">
        <v>73.51831139711534</v>
      </c>
      <c r="D21" s="102">
        <v>63.672054942229941</v>
      </c>
      <c r="E21" s="101">
        <v>76.310618773498746</v>
      </c>
      <c r="F21" s="100">
        <v>71.858408255034533</v>
      </c>
      <c r="H21" s="87"/>
      <c r="I21" s="116"/>
      <c r="J21" s="116"/>
      <c r="K21" s="125"/>
    </row>
    <row r="22" spans="1:11" x14ac:dyDescent="0.35">
      <c r="A22" s="124" t="s">
        <v>24</v>
      </c>
      <c r="B22" s="123"/>
      <c r="C22" s="123"/>
      <c r="D22" s="123"/>
      <c r="E22" s="123"/>
      <c r="F22" s="122"/>
      <c r="H22" s="116"/>
      <c r="I22" s="116"/>
      <c r="J22" s="116"/>
    </row>
    <row r="23" spans="1:11" x14ac:dyDescent="0.35">
      <c r="A23" s="104" t="s">
        <v>50</v>
      </c>
      <c r="B23" s="103">
        <v>0.76978249475233573</v>
      </c>
      <c r="C23" s="103">
        <v>0.73913788670837421</v>
      </c>
      <c r="D23" s="102">
        <v>0.43876962396363073</v>
      </c>
      <c r="E23" s="103">
        <v>0.71554359047021343</v>
      </c>
      <c r="F23" s="100">
        <v>0.39712680772554521</v>
      </c>
      <c r="H23" s="116"/>
      <c r="I23" s="116"/>
      <c r="J23" s="116"/>
    </row>
    <row r="24" spans="1:11" x14ac:dyDescent="0.35">
      <c r="A24" s="109" t="s">
        <v>58</v>
      </c>
      <c r="B24" s="108">
        <v>0.2176964710651319</v>
      </c>
      <c r="C24" s="108">
        <v>0.19993217490775761</v>
      </c>
      <c r="D24" s="107">
        <v>0.47104009397397339</v>
      </c>
      <c r="E24" s="108">
        <v>0.18213247406770883</v>
      </c>
      <c r="F24" s="105">
        <v>0.45218297092196602</v>
      </c>
      <c r="H24" s="116"/>
      <c r="I24" s="116"/>
      <c r="J24" s="116"/>
    </row>
    <row r="25" spans="1:11" x14ac:dyDescent="0.35">
      <c r="A25" s="104" t="s">
        <v>57</v>
      </c>
      <c r="B25" s="103">
        <v>94.33084117717145</v>
      </c>
      <c r="C25" s="103">
        <v>97.406279057461006</v>
      </c>
      <c r="D25" s="102">
        <v>96.9551648474215</v>
      </c>
      <c r="E25" s="103">
        <v>97.166322000103762</v>
      </c>
      <c r="F25" s="100">
        <v>98.150026946338286</v>
      </c>
      <c r="H25" s="116"/>
      <c r="I25" s="116"/>
      <c r="J25" s="116"/>
    </row>
    <row r="26" spans="1:11" x14ac:dyDescent="0.35">
      <c r="A26" s="109" t="s">
        <v>56</v>
      </c>
      <c r="B26" s="108">
        <v>107.47374136731543</v>
      </c>
      <c r="C26" s="108">
        <v>108.37111112980142</v>
      </c>
      <c r="D26" s="107">
        <v>101.9341223948949</v>
      </c>
      <c r="E26" s="108">
        <v>109.32274770454752</v>
      </c>
      <c r="F26" s="105">
        <v>103.78941864704068</v>
      </c>
      <c r="H26" s="116"/>
      <c r="I26" s="116"/>
      <c r="J26" s="116"/>
    </row>
    <row r="27" spans="1:11" x14ac:dyDescent="0.35">
      <c r="A27" s="104" t="s">
        <v>62</v>
      </c>
      <c r="B27" s="103">
        <v>108.46181046676095</v>
      </c>
      <c r="C27" s="103">
        <v>107.07527055838932</v>
      </c>
      <c r="D27" s="102">
        <v>101.72046958709984</v>
      </c>
      <c r="E27" s="103">
        <v>106.0391988516695</v>
      </c>
      <c r="F27" s="100">
        <v>101.19578388660526</v>
      </c>
      <c r="H27" s="116"/>
      <c r="I27" s="116"/>
      <c r="J27" s="116"/>
    </row>
    <row r="28" spans="1:11" x14ac:dyDescent="0.35">
      <c r="A28" s="109" t="s">
        <v>61</v>
      </c>
      <c r="B28" s="108">
        <v>103.25100641932326</v>
      </c>
      <c r="C28" s="108">
        <v>102.03667719213018</v>
      </c>
      <c r="D28" s="107">
        <v>96.314695429046509</v>
      </c>
      <c r="E28" s="108">
        <v>101.0493272339455</v>
      </c>
      <c r="F28" s="105">
        <v>95.816612827648669</v>
      </c>
      <c r="H28" s="87"/>
      <c r="I28" s="87"/>
      <c r="J28" s="87"/>
    </row>
    <row r="29" spans="1:11" x14ac:dyDescent="0.35">
      <c r="A29" s="124" t="s">
        <v>20</v>
      </c>
      <c r="B29" s="123"/>
      <c r="C29" s="123"/>
      <c r="D29" s="123"/>
      <c r="E29" s="123"/>
      <c r="F29" s="122"/>
      <c r="H29" s="116"/>
      <c r="I29" s="116"/>
      <c r="J29" s="116"/>
    </row>
    <row r="30" spans="1:11" x14ac:dyDescent="0.35">
      <c r="A30" s="104" t="s">
        <v>51</v>
      </c>
      <c r="B30" s="103">
        <v>81.37639650619542</v>
      </c>
      <c r="C30" s="103">
        <v>78.935070061180184</v>
      </c>
      <c r="D30" s="102">
        <v>93.105822485612947</v>
      </c>
      <c r="E30" s="101">
        <v>82.499805975941015</v>
      </c>
      <c r="F30" s="100">
        <v>95.031628893548429</v>
      </c>
      <c r="H30" s="116"/>
      <c r="I30" s="116"/>
      <c r="J30" s="116"/>
    </row>
    <row r="31" spans="1:11" x14ac:dyDescent="0.35">
      <c r="A31" s="109" t="s">
        <v>50</v>
      </c>
      <c r="B31" s="108">
        <v>3.8589668674901101</v>
      </c>
      <c r="C31" s="108">
        <v>3.5221119673819024</v>
      </c>
      <c r="D31" s="107">
        <v>2.54778221710249</v>
      </c>
      <c r="E31" s="106">
        <v>3.3469676174428198</v>
      </c>
      <c r="F31" s="105">
        <v>2.2918429271874818</v>
      </c>
      <c r="H31" s="116"/>
      <c r="I31" s="116"/>
      <c r="J31" s="116"/>
    </row>
    <row r="32" spans="1:11" x14ac:dyDescent="0.35">
      <c r="A32" s="104" t="s">
        <v>58</v>
      </c>
      <c r="B32" s="103">
        <v>0.81505192724402598</v>
      </c>
      <c r="C32" s="103">
        <v>0.34505075395493412</v>
      </c>
      <c r="D32" s="102">
        <v>2.2384648038226818</v>
      </c>
      <c r="E32" s="101">
        <v>0.14634447979002818</v>
      </c>
      <c r="F32" s="100">
        <v>2.1403697727291782</v>
      </c>
      <c r="H32" s="116"/>
      <c r="I32" s="116"/>
      <c r="J32" s="116"/>
    </row>
    <row r="33" spans="1:10" x14ac:dyDescent="0.35">
      <c r="A33" s="109" t="s">
        <v>57</v>
      </c>
      <c r="B33" s="108">
        <v>87.93854105221763</v>
      </c>
      <c r="C33" s="108">
        <v>90.107456792016947</v>
      </c>
      <c r="D33" s="107">
        <v>92.865387576774694</v>
      </c>
      <c r="E33" s="106">
        <v>90.543562913113803</v>
      </c>
      <c r="F33" s="105">
        <v>92.527364626036132</v>
      </c>
      <c r="H33" s="116"/>
      <c r="I33" s="116"/>
      <c r="J33" s="116"/>
    </row>
    <row r="34" spans="1:10" x14ac:dyDescent="0.35">
      <c r="A34" s="104" t="s">
        <v>56</v>
      </c>
      <c r="B34" s="103">
        <v>82.624568935181927</v>
      </c>
      <c r="C34" s="103">
        <v>82.137832807598542</v>
      </c>
      <c r="D34" s="102">
        <v>91.876923795994145</v>
      </c>
      <c r="E34" s="101">
        <v>78.634605712700093</v>
      </c>
      <c r="F34" s="100">
        <v>89.804444151920364</v>
      </c>
      <c r="H34" s="116"/>
      <c r="I34" s="116"/>
      <c r="J34" s="116"/>
    </row>
    <row r="35" spans="1:10" x14ac:dyDescent="0.35">
      <c r="A35" s="109" t="s">
        <v>60</v>
      </c>
      <c r="B35" s="108">
        <v>85.217311671326641</v>
      </c>
      <c r="C35" s="108">
        <v>82.965735658866336</v>
      </c>
      <c r="D35" s="107">
        <v>94.670888333927934</v>
      </c>
      <c r="E35" s="106">
        <v>82.811044998663689</v>
      </c>
      <c r="F35" s="105">
        <v>94.056932269296951</v>
      </c>
      <c r="H35" s="116"/>
      <c r="I35" s="116"/>
      <c r="J35" s="116"/>
    </row>
    <row r="36" spans="1:10" x14ac:dyDescent="0.35">
      <c r="A36" s="104" t="s">
        <v>59</v>
      </c>
      <c r="B36" s="103">
        <v>73.481308076891168</v>
      </c>
      <c r="C36" s="103">
        <v>72.036846795202877</v>
      </c>
      <c r="D36" s="102">
        <v>83.855666307503625</v>
      </c>
      <c r="E36" s="101">
        <v>71.902491173284943</v>
      </c>
      <c r="F36" s="121">
        <v>83.305904438452842</v>
      </c>
      <c r="H36" s="116"/>
      <c r="I36" s="116"/>
      <c r="J36" s="116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116"/>
      <c r="I37" s="116"/>
      <c r="J37" s="116"/>
    </row>
    <row r="38" spans="1:10" x14ac:dyDescent="0.35">
      <c r="A38" s="104" t="s">
        <v>51</v>
      </c>
      <c r="B38" s="103">
        <v>82.010729613733901</v>
      </c>
      <c r="C38" s="103">
        <v>82.114756018355848</v>
      </c>
      <c r="D38" s="102">
        <v>90.303209142071765</v>
      </c>
      <c r="E38" s="101">
        <v>83.072520505101011</v>
      </c>
      <c r="F38" s="100">
        <v>91.299275514381847</v>
      </c>
      <c r="H38" s="116"/>
      <c r="I38" s="116"/>
      <c r="J38" s="116"/>
    </row>
    <row r="39" spans="1:10" x14ac:dyDescent="0.35">
      <c r="A39" s="109" t="s">
        <v>50</v>
      </c>
      <c r="B39" s="108">
        <v>10.662645548025019</v>
      </c>
      <c r="C39" s="108">
        <v>7.9279175818128707</v>
      </c>
      <c r="D39" s="107">
        <v>9.2482325469735116</v>
      </c>
      <c r="E39" s="106">
        <v>8.0605009783219383</v>
      </c>
      <c r="F39" s="105">
        <v>9.2356339587371004</v>
      </c>
      <c r="H39" s="116"/>
      <c r="I39" s="116"/>
      <c r="J39" s="116"/>
    </row>
    <row r="40" spans="1:10" x14ac:dyDescent="0.35">
      <c r="A40" s="104" t="s">
        <v>58</v>
      </c>
      <c r="B40" s="103">
        <v>4.5171670562520916</v>
      </c>
      <c r="C40" s="103">
        <v>4.4760796312202311</v>
      </c>
      <c r="D40" s="102">
        <v>12.053771184956375</v>
      </c>
      <c r="E40" s="101">
        <v>4.4357247317143518</v>
      </c>
      <c r="F40" s="100">
        <v>11.972895108572123</v>
      </c>
      <c r="H40" s="116"/>
      <c r="I40" s="116"/>
      <c r="J40" s="116"/>
    </row>
    <row r="41" spans="1:10" x14ac:dyDescent="0.35">
      <c r="A41" s="109" t="s">
        <v>57</v>
      </c>
      <c r="B41" s="108">
        <v>68.99858077468933</v>
      </c>
      <c r="C41" s="108">
        <v>78.269054458773908</v>
      </c>
      <c r="D41" s="107">
        <v>70.240267556253883</v>
      </c>
      <c r="E41" s="106">
        <v>77.177695789831745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55.708336826807525</v>
      </c>
      <c r="C42" s="103">
        <v>58.996756597375786</v>
      </c>
      <c r="D42" s="102">
        <v>63.600436314437992</v>
      </c>
      <c r="E42" s="101">
        <v>53.751389572285092</v>
      </c>
      <c r="F42" s="100">
        <v>60.075548708762398</v>
      </c>
      <c r="H42" s="116"/>
      <c r="I42" s="116"/>
      <c r="J42" s="116"/>
    </row>
    <row r="43" spans="1:10" x14ac:dyDescent="0.35">
      <c r="A43" s="109" t="s">
        <v>55</v>
      </c>
      <c r="B43" s="108">
        <v>64.058739571576169</v>
      </c>
      <c r="C43" s="108">
        <v>61.850150642524405</v>
      </c>
      <c r="D43" s="107">
        <v>72.862042704061992</v>
      </c>
      <c r="E43" s="106">
        <v>60.635676717011386</v>
      </c>
      <c r="F43" s="105">
        <v>73.197457862217306</v>
      </c>
      <c r="H43" s="116"/>
      <c r="I43" s="116"/>
      <c r="J43" s="116"/>
    </row>
    <row r="44" spans="1:10" x14ac:dyDescent="0.35">
      <c r="A44" s="104" t="s">
        <v>54</v>
      </c>
      <c r="B44" s="103">
        <v>65.397638712220299</v>
      </c>
      <c r="C44" s="103">
        <v>63.191727387343668</v>
      </c>
      <c r="D44" s="102">
        <v>78.400458538136903</v>
      </c>
      <c r="E44" s="101">
        <v>61.951021822570837</v>
      </c>
      <c r="F44" s="100">
        <v>78.773452915283144</v>
      </c>
      <c r="H44" s="116"/>
      <c r="I44" s="117"/>
      <c r="J44" s="117"/>
    </row>
    <row r="45" spans="1:10" x14ac:dyDescent="0.35">
      <c r="A45" s="109" t="s">
        <v>53</v>
      </c>
      <c r="B45" s="108">
        <v>53.655696293243992</v>
      </c>
      <c r="C45" s="108">
        <v>50.979028429707064</v>
      </c>
      <c r="D45" s="107">
        <v>60.675903080458362</v>
      </c>
      <c r="E45" s="106">
        <v>49.638346171579265</v>
      </c>
      <c r="F45" s="105">
        <v>59.146954254527095</v>
      </c>
      <c r="H45" s="116"/>
      <c r="I45" s="116"/>
      <c r="J45" s="116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31.097726501526978</v>
      </c>
      <c r="C47" s="103">
        <v>32.562033285336369</v>
      </c>
      <c r="D47" s="102">
        <v>68.075095204300098</v>
      </c>
      <c r="E47" s="101">
        <v>32.614711170171191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3.60876625555272</v>
      </c>
      <c r="C48" s="108">
        <v>3.4895521611283176</v>
      </c>
      <c r="D48" s="107">
        <v>8.5439504278360232</v>
      </c>
      <c r="E48" s="106">
        <v>3.4047398583548105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12.692270375161707</v>
      </c>
      <c r="C49" s="103">
        <v>13.069726730319845</v>
      </c>
      <c r="D49" s="102">
        <v>30.621789759912865</v>
      </c>
      <c r="E49" s="101">
        <v>13.500817936951156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14.367218118128534</v>
      </c>
      <c r="C50" s="108">
        <v>14.703643929079533</v>
      </c>
      <c r="D50" s="107">
        <v>34.484611655840489</v>
      </c>
      <c r="E50" s="106">
        <v>15.151836747070149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21.265756444197812</v>
      </c>
      <c r="C51" s="103">
        <v>22.94264100720525</v>
      </c>
      <c r="D51" s="102">
        <v>42.545891307303194</v>
      </c>
      <c r="E51" s="101">
        <v>23.708857017237982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12.579621508958155</v>
      </c>
      <c r="C53" s="108">
        <v>12.343754415104479</v>
      </c>
      <c r="D53" s="107">
        <v>13.596245811879109</v>
      </c>
      <c r="E53" s="106">
        <v>12.2404945878828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7.78</v>
      </c>
      <c r="C54" s="103">
        <v>7.8782837583587302</v>
      </c>
      <c r="D54" s="102">
        <v>9.8556313156987496</v>
      </c>
      <c r="E54" s="101">
        <v>7.9765675167174601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13.355417895818499</v>
      </c>
      <c r="C55" s="98">
        <v>12.860044165176312</v>
      </c>
      <c r="D55" s="97">
        <v>4.4889089590471833</v>
      </c>
      <c r="E55" s="96">
        <v>12.341996868234919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6.45" customHeight="1" x14ac:dyDescent="0.35">
      <c r="A57" s="153" t="s">
        <v>42</v>
      </c>
      <c r="B57" s="153"/>
      <c r="C57" s="153"/>
      <c r="D57" s="153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Chis</vt:lpstr>
      <vt:lpstr>CHIS</vt:lpstr>
      <vt:lpstr>CHIS!Área_de_impresión</vt:lpstr>
      <vt:lpstr>'Est Chis'!Área_de_impresión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2022-09-07T17:06:32Z</cp:lastPrinted>
  <dcterms:created xsi:type="dcterms:W3CDTF">2022-09-06T18:51:08Z</dcterms:created>
  <dcterms:modified xsi:type="dcterms:W3CDTF">2022-09-07T19:14:48Z</dcterms:modified>
</cp:coreProperties>
</file>