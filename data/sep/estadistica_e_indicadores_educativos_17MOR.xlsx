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8E18BD35-2D44-4199-8A5A-09C3E4112702}" xr6:coauthVersionLast="47" xr6:coauthVersionMax="47" xr10:uidLastSave="{00000000-0000-0000-0000-000000000000}"/>
  <bookViews>
    <workbookView xWindow="-120" yWindow="-120" windowWidth="29040" windowHeight="15840" xr2:uid="{480D100C-E488-42F8-8392-2F171AC9D83A}"/>
  </bookViews>
  <sheets>
    <sheet name="Est Mor" sheetId="1" r:id="rId1"/>
    <sheet name="MO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Mor'!$A$1:$F$74</definedName>
    <definedName name="_xlnm.Print_Area" localSheetId="1">MOR!$A$1:$F$57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8" i="1"/>
  <c r="E15" i="1" s="1"/>
  <c r="F19" i="1"/>
  <c r="C20" i="1"/>
  <c r="B20" i="1" s="1"/>
  <c r="D20" i="1"/>
  <c r="D19" i="1" s="1"/>
  <c r="E20" i="1"/>
  <c r="E17" i="1" s="1"/>
  <c r="F20" i="1"/>
  <c r="F17" i="1" s="1"/>
  <c r="B21" i="1"/>
  <c r="C21" i="1"/>
  <c r="C18" i="1" s="1"/>
  <c r="D21" i="1"/>
  <c r="D18" i="1" s="1"/>
  <c r="D15" i="1" s="1"/>
  <c r="E21" i="1"/>
  <c r="F21" i="1"/>
  <c r="F18" i="1" s="1"/>
  <c r="F15" i="1" s="1"/>
  <c r="C22" i="1"/>
  <c r="B22" i="1" s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B33" i="1"/>
  <c r="C33" i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D59" i="1"/>
  <c r="C60" i="1"/>
  <c r="C59" i="1" s="1"/>
  <c r="B59" i="1" s="1"/>
  <c r="D60" i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F16" i="1" l="1"/>
  <c r="F13" i="1" s="1"/>
  <c r="F14" i="1"/>
  <c r="E16" i="1"/>
  <c r="E13" i="1" s="1"/>
  <c r="E14" i="1"/>
  <c r="D16" i="1"/>
  <c r="D13" i="1" s="1"/>
  <c r="C15" i="1"/>
  <c r="B15" i="1" s="1"/>
  <c r="B18" i="1"/>
  <c r="E19" i="1"/>
  <c r="C17" i="1"/>
  <c r="B60" i="1"/>
  <c r="C19" i="1"/>
  <c r="B19" i="1" s="1"/>
  <c r="D14" i="1"/>
  <c r="C16" i="1" l="1"/>
  <c r="C14" i="1"/>
  <c r="B14" i="1" s="1"/>
  <c r="B17" i="1"/>
  <c r="C13" i="1" l="1"/>
  <c r="B13" i="1" s="1"/>
  <c r="B16" i="1"/>
</calcChain>
</file>

<file path=xl/sharedStrings.xml><?xml version="1.0" encoding="utf-8"?>
<sst xmlns="http://schemas.openxmlformats.org/spreadsheetml/2006/main" count="133" uniqueCount="79">
  <si>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</si>
  <si>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</si>
  <si>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</si>
  <si>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</si>
  <si>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</si>
  <si>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</si>
  <si>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</si>
  <si>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</si>
  <si>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</si>
  <si>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</si>
  <si>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</si>
  <si>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</si>
  <si>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</si>
  <si>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</si>
  <si>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</si>
  <si>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</si>
  <si>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</si>
  <si>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</si>
  <si>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</si>
  <si>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</si>
  <si>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</si>
  <si>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</si>
  <si>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</si>
  <si>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</si>
  <si>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</si>
  <si>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</si>
  <si>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</si>
  <si>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</si>
  <si>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</si>
  <si>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</si>
  <si>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</si>
  <si>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</si>
  <si>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</si>
  <si>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</si>
  <si>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</si>
  <si>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</si>
  <si>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</si>
  <si>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</si>
  <si>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Morelos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</si>
  <si>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</si>
  <si>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</si>
  <si>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</si>
  <si>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</si>
  <si>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</si>
  <si>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</si>
  <si>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</si>
  <si>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</si>
  <si>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</si>
  <si>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</si>
  <si>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</si>
  <si>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</si>
  <si>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</si>
  <si>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</si>
  <si>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</si>
  <si>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</si>
  <si>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</si>
  <si>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</si>
  <si>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</si>
  <si>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</si>
  <si>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</si>
  <si>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</si>
  <si>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</si>
  <si>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</si>
  <si>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</si>
  <si>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</si>
  <si>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</si>
  <si>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</si>
  <si>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</si>
  <si>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</si>
  <si>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</si>
  <si>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</si>
  <si>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</si>
  <si>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</si>
  <si>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</si>
  <si>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</si>
  <si>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</si>
  <si>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 xml:space="preserve"> Morelos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</si>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</sst>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applyNumberFormat="1" applyFont="1" applyBorder="1"/>
    <xf numFmtId="0" fontId="7" fillId="0" borderId="16" xfId="1" applyFont="1" applyBorder="1" applyAlignment="1">
      <alignment horizontal="left" vertical="center" indent="2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D360C00F-0E58-493E-917C-850A56C5A3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5A277E5B-1ECA-4071-BF08-B9E167C4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2AD47C4F-CD91-4C0B-882D-9EFA61E62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D65-DAD8-4346-81F0-4F4182E5890B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4" t="s">
        <v>41</v>
      </c>
    </row>
    <row r="3" spans="1:16" x14ac:dyDescent="0.35">
      <c r="F3" s="84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2" customFormat="1" ht="15.75" customHeight="1" x14ac:dyDescent="0.35">
      <c r="A7" s="143" t="s">
        <v>39</v>
      </c>
      <c r="B7" s="143"/>
      <c r="C7" s="143"/>
      <c r="D7" s="143"/>
      <c r="E7" s="143"/>
      <c r="F7" s="143"/>
      <c r="H7"/>
      <c r="I7"/>
      <c r="J7"/>
      <c r="K7"/>
      <c r="L7"/>
      <c r="M7"/>
      <c r="N7"/>
      <c r="O7"/>
      <c r="P7" s="2"/>
    </row>
    <row r="8" spans="1:16" s="82" customFormat="1" ht="15.75" customHeight="1" x14ac:dyDescent="0.35">
      <c r="A8" s="143" t="s">
        <v>38</v>
      </c>
      <c r="B8" s="143"/>
      <c r="C8" s="143"/>
      <c r="D8" s="143"/>
      <c r="E8" s="143"/>
      <c r="F8" s="143"/>
      <c r="H8"/>
      <c r="I8"/>
      <c r="J8"/>
      <c r="K8"/>
      <c r="L8"/>
      <c r="M8"/>
      <c r="N8"/>
      <c r="O8"/>
      <c r="P8" s="2"/>
    </row>
    <row r="9" spans="1:16" s="82" customFormat="1" ht="15.75" customHeight="1" x14ac:dyDescent="0.35">
      <c r="A9" s="83" t="s">
        <v>78</v>
      </c>
      <c r="B9" s="83"/>
      <c r="C9" s="83"/>
      <c r="D9" s="83"/>
      <c r="E9" s="83"/>
      <c r="F9" s="83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4" t="s">
        <v>37</v>
      </c>
      <c r="B11" s="146" t="s">
        <v>36</v>
      </c>
      <c r="C11" s="146"/>
      <c r="D11" s="146"/>
      <c r="E11" s="147" t="s">
        <v>35</v>
      </c>
      <c r="F11" s="147" t="s">
        <v>34</v>
      </c>
    </row>
    <row r="12" spans="1:16" ht="15" customHeight="1" x14ac:dyDescent="0.35">
      <c r="A12" s="145"/>
      <c r="B12" s="81" t="s">
        <v>33</v>
      </c>
      <c r="C12" s="81" t="s">
        <v>32</v>
      </c>
      <c r="D12" s="81" t="s">
        <v>31</v>
      </c>
      <c r="E12" s="145"/>
      <c r="F12" s="145"/>
    </row>
    <row r="13" spans="1:16" ht="18" customHeight="1" x14ac:dyDescent="0.35">
      <c r="A13" s="80" t="s">
        <v>30</v>
      </c>
      <c r="B13" s="79">
        <f t="shared" ref="B13:B44" si="0">C13+D13</f>
        <v>497308</v>
      </c>
      <c r="C13" s="79">
        <f>C16+C62+C68</f>
        <v>252070</v>
      </c>
      <c r="D13" s="79">
        <f>D16+D62+D68</f>
        <v>245238</v>
      </c>
      <c r="E13" s="79">
        <f>E16+E62+E68</f>
        <v>36268</v>
      </c>
      <c r="F13" s="79">
        <f>F16+F62+F68</f>
        <v>3748</v>
      </c>
    </row>
    <row r="14" spans="1:16" ht="18" customHeight="1" x14ac:dyDescent="0.35">
      <c r="A14" s="41" t="s">
        <v>3</v>
      </c>
      <c r="B14" s="40">
        <f t="shared" si="0"/>
        <v>403812</v>
      </c>
      <c r="C14" s="40">
        <f t="shared" ref="C14:F15" si="1">C17+C66+C71</f>
        <v>203250</v>
      </c>
      <c r="D14" s="40">
        <f t="shared" si="1"/>
        <v>200562</v>
      </c>
      <c r="E14" s="40">
        <f t="shared" si="1"/>
        <v>24229</v>
      </c>
      <c r="F14" s="40">
        <f t="shared" si="1"/>
        <v>2081</v>
      </c>
    </row>
    <row r="15" spans="1:16" ht="18" customHeight="1" x14ac:dyDescent="0.35">
      <c r="A15" s="39" t="s">
        <v>2</v>
      </c>
      <c r="B15" s="38">
        <f t="shared" si="0"/>
        <v>93496</v>
      </c>
      <c r="C15" s="38">
        <f t="shared" si="1"/>
        <v>48820</v>
      </c>
      <c r="D15" s="38">
        <f t="shared" si="1"/>
        <v>44676</v>
      </c>
      <c r="E15" s="38">
        <f t="shared" si="1"/>
        <v>12039</v>
      </c>
      <c r="F15" s="38">
        <f t="shared" si="1"/>
        <v>1667</v>
      </c>
    </row>
    <row r="16" spans="1:16" ht="18" customHeight="1" x14ac:dyDescent="0.35">
      <c r="A16" s="44" t="s">
        <v>29</v>
      </c>
      <c r="B16" s="43">
        <f t="shared" si="0"/>
        <v>484507</v>
      </c>
      <c r="C16" s="43">
        <f>C17+C18</f>
        <v>245239</v>
      </c>
      <c r="D16" s="43">
        <f>D17+D18</f>
        <v>239268</v>
      </c>
      <c r="E16" s="43">
        <f>E17+E18</f>
        <v>34922</v>
      </c>
      <c r="F16" s="42">
        <f>F17+F18</f>
        <v>3663</v>
      </c>
    </row>
    <row r="17" spans="1:6" ht="18" customHeight="1" x14ac:dyDescent="0.35">
      <c r="A17" s="41" t="s">
        <v>3</v>
      </c>
      <c r="B17" s="40">
        <f t="shared" si="0"/>
        <v>401773</v>
      </c>
      <c r="C17" s="40">
        <f t="shared" ref="C17:F18" si="2">C20+C50+C57</f>
        <v>202123</v>
      </c>
      <c r="D17" s="40">
        <f t="shared" si="2"/>
        <v>199650</v>
      </c>
      <c r="E17" s="40">
        <f t="shared" si="2"/>
        <v>23988</v>
      </c>
      <c r="F17" s="40">
        <f t="shared" si="2"/>
        <v>2069</v>
      </c>
    </row>
    <row r="18" spans="1:6" ht="18" customHeight="1" x14ac:dyDescent="0.35">
      <c r="A18" s="39" t="s">
        <v>2</v>
      </c>
      <c r="B18" s="38">
        <f t="shared" si="0"/>
        <v>82734</v>
      </c>
      <c r="C18" s="38">
        <f t="shared" si="2"/>
        <v>43116</v>
      </c>
      <c r="D18" s="38">
        <f t="shared" si="2"/>
        <v>39618</v>
      </c>
      <c r="E18" s="38">
        <f t="shared" si="2"/>
        <v>10934</v>
      </c>
      <c r="F18" s="38">
        <f t="shared" si="2"/>
        <v>1594</v>
      </c>
    </row>
    <row r="19" spans="1:6" ht="18" customHeight="1" x14ac:dyDescent="0.35">
      <c r="A19" s="78" t="s">
        <v>28</v>
      </c>
      <c r="B19" s="77">
        <f t="shared" si="0"/>
        <v>349458</v>
      </c>
      <c r="C19" s="77">
        <f>C20+C21</f>
        <v>172905</v>
      </c>
      <c r="D19" s="77">
        <f>D20+D21</f>
        <v>176553</v>
      </c>
      <c r="E19" s="77">
        <f>E20+E21</f>
        <v>18652</v>
      </c>
      <c r="F19" s="76">
        <f>F20+F21</f>
        <v>3172</v>
      </c>
    </row>
    <row r="20" spans="1:6" ht="18" customHeight="1" x14ac:dyDescent="0.35">
      <c r="A20" s="41" t="s">
        <v>3</v>
      </c>
      <c r="B20" s="40">
        <f t="shared" si="0"/>
        <v>300964</v>
      </c>
      <c r="C20" s="40">
        <f t="shared" ref="C20:F21" si="3">C25+C31+C37+C43</f>
        <v>149238</v>
      </c>
      <c r="D20" s="40">
        <f t="shared" si="3"/>
        <v>151726</v>
      </c>
      <c r="E20" s="40">
        <f t="shared" si="3"/>
        <v>13602</v>
      </c>
      <c r="F20" s="75">
        <f t="shared" si="3"/>
        <v>1906</v>
      </c>
    </row>
    <row r="21" spans="1:6" ht="18" customHeight="1" x14ac:dyDescent="0.35">
      <c r="A21" s="74" t="s">
        <v>2</v>
      </c>
      <c r="B21" s="73">
        <f t="shared" si="0"/>
        <v>48494</v>
      </c>
      <c r="C21" s="73">
        <f t="shared" si="3"/>
        <v>23667</v>
      </c>
      <c r="D21" s="73">
        <f t="shared" si="3"/>
        <v>24827</v>
      </c>
      <c r="E21" s="73">
        <f t="shared" si="3"/>
        <v>5050</v>
      </c>
      <c r="F21" s="72">
        <f t="shared" si="3"/>
        <v>1266</v>
      </c>
    </row>
    <row r="22" spans="1:6" ht="18" customHeight="1" x14ac:dyDescent="0.35">
      <c r="A22" s="67" t="s">
        <v>27</v>
      </c>
      <c r="B22" s="66">
        <f t="shared" si="0"/>
        <v>2933</v>
      </c>
      <c r="C22" s="66">
        <f>C23+C24</f>
        <v>1455</v>
      </c>
      <c r="D22" s="66">
        <f>D23+D24</f>
        <v>1478</v>
      </c>
      <c r="E22" s="66">
        <f>E23+E24</f>
        <v>258</v>
      </c>
      <c r="F22" s="65">
        <f>F23+F24</f>
        <v>184</v>
      </c>
    </row>
    <row r="23" spans="1:6" ht="18" customHeight="1" x14ac:dyDescent="0.35">
      <c r="A23" s="70" t="s">
        <v>23</v>
      </c>
      <c r="B23" s="35">
        <f t="shared" si="0"/>
        <v>2566</v>
      </c>
      <c r="C23" s="35">
        <v>1250</v>
      </c>
      <c r="D23" s="35">
        <v>1316</v>
      </c>
      <c r="E23" s="35">
        <v>233</v>
      </c>
      <c r="F23" s="9">
        <v>165</v>
      </c>
    </row>
    <row r="24" spans="1:6" ht="18" customHeight="1" x14ac:dyDescent="0.35">
      <c r="A24" s="71" t="s">
        <v>22</v>
      </c>
      <c r="B24" s="48">
        <f t="shared" si="0"/>
        <v>367</v>
      </c>
      <c r="C24" s="48">
        <v>205</v>
      </c>
      <c r="D24" s="48">
        <v>162</v>
      </c>
      <c r="E24" s="48">
        <v>25</v>
      </c>
      <c r="F24" s="45">
        <v>19</v>
      </c>
    </row>
    <row r="25" spans="1:6" ht="18" customHeight="1" x14ac:dyDescent="0.35">
      <c r="A25" s="36" t="s">
        <v>3</v>
      </c>
      <c r="B25" s="11">
        <f t="shared" si="0"/>
        <v>741</v>
      </c>
      <c r="C25" s="11">
        <v>383</v>
      </c>
      <c r="D25" s="11">
        <v>358</v>
      </c>
      <c r="E25" s="11">
        <v>69</v>
      </c>
      <c r="F25" s="9">
        <v>33</v>
      </c>
    </row>
    <row r="26" spans="1:6" ht="18" customHeight="1" x14ac:dyDescent="0.35">
      <c r="A26" s="56" t="s">
        <v>2</v>
      </c>
      <c r="B26" s="55">
        <f t="shared" si="0"/>
        <v>2192</v>
      </c>
      <c r="C26" s="55">
        <v>1072</v>
      </c>
      <c r="D26" s="55">
        <v>1120</v>
      </c>
      <c r="E26" s="55">
        <v>189</v>
      </c>
      <c r="F26" s="54">
        <v>151</v>
      </c>
    </row>
    <row r="27" spans="1:6" ht="18" customHeight="1" x14ac:dyDescent="0.35">
      <c r="A27" s="67" t="s">
        <v>26</v>
      </c>
      <c r="B27" s="66">
        <f t="shared" si="0"/>
        <v>55231</v>
      </c>
      <c r="C27" s="66">
        <f>C28+C29+C30</f>
        <v>27308</v>
      </c>
      <c r="D27" s="66">
        <f>D28+D29+D30</f>
        <v>27923</v>
      </c>
      <c r="E27" s="66">
        <f>E28+E29+E30</f>
        <v>3057</v>
      </c>
      <c r="F27" s="65">
        <f>F28+F29+F30</f>
        <v>1218</v>
      </c>
    </row>
    <row r="28" spans="1:6" ht="18" customHeight="1" x14ac:dyDescent="0.35">
      <c r="A28" s="70" t="s">
        <v>25</v>
      </c>
      <c r="B28" s="35">
        <f t="shared" si="0"/>
        <v>52721</v>
      </c>
      <c r="C28" s="35">
        <v>26092</v>
      </c>
      <c r="D28" s="35">
        <v>26629</v>
      </c>
      <c r="E28" s="35">
        <v>2904</v>
      </c>
      <c r="F28" s="9">
        <v>1117</v>
      </c>
    </row>
    <row r="29" spans="1:6" ht="18" customHeight="1" x14ac:dyDescent="0.35">
      <c r="A29" s="71" t="s">
        <v>22</v>
      </c>
      <c r="B29" s="48">
        <f t="shared" si="0"/>
        <v>1538</v>
      </c>
      <c r="C29" s="48">
        <v>731</v>
      </c>
      <c r="D29" s="48">
        <v>807</v>
      </c>
      <c r="E29" s="48">
        <v>58</v>
      </c>
      <c r="F29" s="45">
        <v>17</v>
      </c>
    </row>
    <row r="30" spans="1:6" ht="18" customHeight="1" x14ac:dyDescent="0.35">
      <c r="A30" s="70" t="s">
        <v>21</v>
      </c>
      <c r="B30" s="35">
        <f t="shared" si="0"/>
        <v>972</v>
      </c>
      <c r="C30" s="35">
        <v>485</v>
      </c>
      <c r="D30" s="35">
        <v>487</v>
      </c>
      <c r="E30" s="35">
        <v>95</v>
      </c>
      <c r="F30" s="9">
        <v>84</v>
      </c>
    </row>
    <row r="31" spans="1:6" ht="18" customHeight="1" x14ac:dyDescent="0.35">
      <c r="A31" s="69" t="s">
        <v>3</v>
      </c>
      <c r="B31" s="64">
        <f t="shared" si="0"/>
        <v>45795</v>
      </c>
      <c r="C31" s="64">
        <v>22748</v>
      </c>
      <c r="D31" s="64">
        <v>23047</v>
      </c>
      <c r="E31" s="64">
        <v>2133</v>
      </c>
      <c r="F31" s="68">
        <v>717</v>
      </c>
    </row>
    <row r="32" spans="1:6" ht="18" customHeight="1" x14ac:dyDescent="0.35">
      <c r="A32" s="31" t="s">
        <v>2</v>
      </c>
      <c r="B32" s="30">
        <f t="shared" si="0"/>
        <v>9436</v>
      </c>
      <c r="C32" s="30">
        <v>4560</v>
      </c>
      <c r="D32" s="30">
        <v>4876</v>
      </c>
      <c r="E32" s="30">
        <v>924</v>
      </c>
      <c r="F32" s="27">
        <v>501</v>
      </c>
    </row>
    <row r="33" spans="1:6" ht="18" customHeight="1" x14ac:dyDescent="0.35">
      <c r="A33" s="67" t="s">
        <v>24</v>
      </c>
      <c r="B33" s="66">
        <f t="shared" si="0"/>
        <v>197511</v>
      </c>
      <c r="C33" s="66">
        <f>C34+C35+C36</f>
        <v>97170</v>
      </c>
      <c r="D33" s="66">
        <f>D34+D35+D36</f>
        <v>100341</v>
      </c>
      <c r="E33" s="66">
        <f>E34+E35+E36</f>
        <v>8339</v>
      </c>
      <c r="F33" s="65">
        <f>F34+F35+F36</f>
        <v>1218</v>
      </c>
    </row>
    <row r="34" spans="1:6" ht="18" customHeight="1" x14ac:dyDescent="0.35">
      <c r="A34" s="70" t="s">
        <v>23</v>
      </c>
      <c r="B34" s="35">
        <f t="shared" si="0"/>
        <v>195561</v>
      </c>
      <c r="C34" s="35">
        <v>96212</v>
      </c>
      <c r="D34" s="35">
        <v>99349</v>
      </c>
      <c r="E34" s="35">
        <v>8233</v>
      </c>
      <c r="F34" s="9">
        <v>1176</v>
      </c>
    </row>
    <row r="35" spans="1:6" ht="18" customHeight="1" x14ac:dyDescent="0.35">
      <c r="A35" s="71" t="s">
        <v>22</v>
      </c>
      <c r="B35" s="48">
        <f t="shared" si="0"/>
        <v>1565</v>
      </c>
      <c r="C35" s="48">
        <v>762</v>
      </c>
      <c r="D35" s="48">
        <v>803</v>
      </c>
      <c r="E35" s="48">
        <v>67</v>
      </c>
      <c r="F35" s="45">
        <v>12</v>
      </c>
    </row>
    <row r="36" spans="1:6" ht="18" customHeight="1" x14ac:dyDescent="0.35">
      <c r="A36" s="70" t="s">
        <v>21</v>
      </c>
      <c r="B36" s="35">
        <f t="shared" si="0"/>
        <v>385</v>
      </c>
      <c r="C36" s="35">
        <v>196</v>
      </c>
      <c r="D36" s="35">
        <v>189</v>
      </c>
      <c r="E36" s="35">
        <v>39</v>
      </c>
      <c r="F36" s="9">
        <v>30</v>
      </c>
    </row>
    <row r="37" spans="1:6" ht="18" customHeight="1" x14ac:dyDescent="0.35">
      <c r="A37" s="69" t="s">
        <v>3</v>
      </c>
      <c r="B37" s="64">
        <f t="shared" si="0"/>
        <v>172417</v>
      </c>
      <c r="C37" s="64">
        <v>84896</v>
      </c>
      <c r="D37" s="64">
        <v>87521</v>
      </c>
      <c r="E37" s="64">
        <v>6511</v>
      </c>
      <c r="F37" s="68">
        <v>825</v>
      </c>
    </row>
    <row r="38" spans="1:6" ht="18" customHeight="1" x14ac:dyDescent="0.35">
      <c r="A38" s="31" t="s">
        <v>2</v>
      </c>
      <c r="B38" s="30">
        <f t="shared" si="0"/>
        <v>25094</v>
      </c>
      <c r="C38" s="30">
        <v>12274</v>
      </c>
      <c r="D38" s="30">
        <v>12820</v>
      </c>
      <c r="E38" s="30">
        <v>1828</v>
      </c>
      <c r="F38" s="27">
        <v>393</v>
      </c>
    </row>
    <row r="39" spans="1:6" ht="18" customHeight="1" x14ac:dyDescent="0.35">
      <c r="A39" s="67" t="s">
        <v>20</v>
      </c>
      <c r="B39" s="66">
        <f t="shared" si="0"/>
        <v>93783</v>
      </c>
      <c r="C39" s="66">
        <f>C40+C41+C42</f>
        <v>46972</v>
      </c>
      <c r="D39" s="66">
        <f>D40+D41+D42</f>
        <v>46811</v>
      </c>
      <c r="E39" s="66">
        <f>E40+E41+E42</f>
        <v>6998</v>
      </c>
      <c r="F39" s="65">
        <f>F40+F41+F42</f>
        <v>552</v>
      </c>
    </row>
    <row r="40" spans="1:6" ht="18" customHeight="1" x14ac:dyDescent="0.35">
      <c r="A40" s="59" t="s">
        <v>19</v>
      </c>
      <c r="B40" s="11">
        <f t="shared" si="0"/>
        <v>51731</v>
      </c>
      <c r="C40" s="35">
        <v>25920</v>
      </c>
      <c r="D40" s="35">
        <v>25811</v>
      </c>
      <c r="E40" s="11">
        <v>4549</v>
      </c>
      <c r="F40" s="9">
        <v>317</v>
      </c>
    </row>
    <row r="41" spans="1:6" ht="18" customHeight="1" x14ac:dyDescent="0.35">
      <c r="A41" s="60" t="s">
        <v>18</v>
      </c>
      <c r="B41" s="48">
        <f t="shared" si="0"/>
        <v>17477</v>
      </c>
      <c r="C41" s="48">
        <v>8519</v>
      </c>
      <c r="D41" s="48">
        <v>8958</v>
      </c>
      <c r="E41" s="48">
        <v>827</v>
      </c>
      <c r="F41" s="45">
        <v>165</v>
      </c>
    </row>
    <row r="42" spans="1:6" ht="18" customHeight="1" x14ac:dyDescent="0.35">
      <c r="A42" s="59" t="s">
        <v>17</v>
      </c>
      <c r="B42" s="35">
        <f t="shared" si="0"/>
        <v>24575</v>
      </c>
      <c r="C42" s="35">
        <v>12533</v>
      </c>
      <c r="D42" s="35">
        <v>12042</v>
      </c>
      <c r="E42" s="35">
        <v>1622</v>
      </c>
      <c r="F42" s="9">
        <v>70</v>
      </c>
    </row>
    <row r="43" spans="1:6" ht="18" customHeight="1" x14ac:dyDescent="0.35">
      <c r="A43" s="60" t="s">
        <v>3</v>
      </c>
      <c r="B43" s="64">
        <f t="shared" si="0"/>
        <v>82011</v>
      </c>
      <c r="C43" s="46">
        <v>41211</v>
      </c>
      <c r="D43" s="46">
        <v>40800</v>
      </c>
      <c r="E43" s="46">
        <v>4889</v>
      </c>
      <c r="F43" s="45">
        <v>331</v>
      </c>
    </row>
    <row r="44" spans="1:6" ht="18" customHeight="1" x14ac:dyDescent="0.35">
      <c r="A44" s="31" t="s">
        <v>2</v>
      </c>
      <c r="B44" s="30">
        <f t="shared" si="0"/>
        <v>11772</v>
      </c>
      <c r="C44" s="30">
        <v>5761</v>
      </c>
      <c r="D44" s="30">
        <v>6011</v>
      </c>
      <c r="E44" s="30">
        <v>2109</v>
      </c>
      <c r="F44" s="27">
        <v>221</v>
      </c>
    </row>
    <row r="45" spans="1:6" ht="18" customHeight="1" x14ac:dyDescent="0.35">
      <c r="A45" s="63" t="s">
        <v>16</v>
      </c>
      <c r="B45" s="62">
        <f t="shared" ref="B45:B72" si="4">C45+D45</f>
        <v>70833</v>
      </c>
      <c r="C45" s="62">
        <f>C46+C47+C48+C49</f>
        <v>37673</v>
      </c>
      <c r="D45" s="62">
        <f>D46+D47+D48+D49</f>
        <v>33160</v>
      </c>
      <c r="E45" s="62">
        <f>E46+E47+E48+E49</f>
        <v>7803</v>
      </c>
      <c r="F45" s="61">
        <f>F46+F47+F48+F49</f>
        <v>332</v>
      </c>
    </row>
    <row r="46" spans="1:6" ht="18" customHeight="1" x14ac:dyDescent="0.35">
      <c r="A46" s="59" t="s">
        <v>9</v>
      </c>
      <c r="B46" s="57">
        <f t="shared" si="4"/>
        <v>32658</v>
      </c>
      <c r="C46" s="35">
        <v>18026</v>
      </c>
      <c r="D46" s="35">
        <v>14632</v>
      </c>
      <c r="E46" s="35">
        <v>3188</v>
      </c>
      <c r="F46" s="9">
        <v>170</v>
      </c>
    </row>
    <row r="47" spans="1:6" ht="18" customHeight="1" x14ac:dyDescent="0.35">
      <c r="A47" s="60" t="s">
        <v>8</v>
      </c>
      <c r="B47" s="46">
        <f t="shared" si="4"/>
        <v>31368</v>
      </c>
      <c r="C47" s="48">
        <v>15961</v>
      </c>
      <c r="D47" s="48">
        <v>15407</v>
      </c>
      <c r="E47" s="48">
        <v>3425</v>
      </c>
      <c r="F47" s="45">
        <v>69</v>
      </c>
    </row>
    <row r="48" spans="1:6" ht="18" customHeight="1" x14ac:dyDescent="0.35">
      <c r="A48" s="59" t="s">
        <v>15</v>
      </c>
      <c r="B48" s="11">
        <f t="shared" si="4"/>
        <v>4277</v>
      </c>
      <c r="C48" s="11">
        <v>2090</v>
      </c>
      <c r="D48" s="11">
        <v>2187</v>
      </c>
      <c r="E48" s="11">
        <v>775</v>
      </c>
      <c r="F48" s="9">
        <v>9</v>
      </c>
    </row>
    <row r="49" spans="1:6" ht="18" customHeight="1" x14ac:dyDescent="0.35">
      <c r="A49" s="47" t="s">
        <v>7</v>
      </c>
      <c r="B49" s="46">
        <f t="shared" si="4"/>
        <v>2530</v>
      </c>
      <c r="C49" s="48">
        <v>1596</v>
      </c>
      <c r="D49" s="58">
        <v>934</v>
      </c>
      <c r="E49" s="46">
        <v>415</v>
      </c>
      <c r="F49" s="45">
        <v>84</v>
      </c>
    </row>
    <row r="50" spans="1:6" ht="18" customHeight="1" x14ac:dyDescent="0.35">
      <c r="A50" s="36" t="s">
        <v>3</v>
      </c>
      <c r="B50" s="57">
        <f t="shared" si="4"/>
        <v>52560</v>
      </c>
      <c r="C50" s="57">
        <v>27701</v>
      </c>
      <c r="D50" s="57">
        <v>24859</v>
      </c>
      <c r="E50" s="57">
        <v>4996</v>
      </c>
      <c r="F50" s="9">
        <v>102</v>
      </c>
    </row>
    <row r="51" spans="1:6" ht="18" customHeight="1" x14ac:dyDescent="0.35">
      <c r="A51" s="56" t="s">
        <v>2</v>
      </c>
      <c r="B51" s="55">
        <f t="shared" si="4"/>
        <v>18273</v>
      </c>
      <c r="C51" s="55">
        <v>9972</v>
      </c>
      <c r="D51" s="55">
        <v>8301</v>
      </c>
      <c r="E51" s="55">
        <v>2807</v>
      </c>
      <c r="F51" s="54">
        <v>230</v>
      </c>
    </row>
    <row r="52" spans="1:6" ht="18" customHeight="1" x14ac:dyDescent="0.35">
      <c r="A52" s="53" t="s">
        <v>14</v>
      </c>
      <c r="B52" s="52">
        <f t="shared" si="4"/>
        <v>64216</v>
      </c>
      <c r="C52" s="52">
        <f>C54+C55+C56</f>
        <v>34661</v>
      </c>
      <c r="D52" s="52">
        <f>D54+D55+D56</f>
        <v>29555</v>
      </c>
      <c r="E52" s="52">
        <f>E54+E55+E56</f>
        <v>8467</v>
      </c>
      <c r="F52" s="51">
        <f>F57+F58</f>
        <v>159</v>
      </c>
    </row>
    <row r="53" spans="1:6" ht="18" customHeight="1" x14ac:dyDescent="0.35">
      <c r="A53" s="47" t="s">
        <v>5</v>
      </c>
      <c r="B53" s="46">
        <f t="shared" si="4"/>
        <v>59126</v>
      </c>
      <c r="C53" s="48">
        <f>C54+C55</f>
        <v>31849</v>
      </c>
      <c r="D53" s="46">
        <f>D54+D55</f>
        <v>27277</v>
      </c>
      <c r="E53" s="46">
        <f>E54+E55</f>
        <v>6594</v>
      </c>
      <c r="F53" s="45">
        <f>F54+F55</f>
        <v>135</v>
      </c>
    </row>
    <row r="54" spans="1:6" ht="18" customHeight="1" x14ac:dyDescent="0.35">
      <c r="A54" s="50" t="s">
        <v>13</v>
      </c>
      <c r="B54" s="11">
        <f t="shared" si="4"/>
        <v>1376</v>
      </c>
      <c r="C54" s="35">
        <v>1067</v>
      </c>
      <c r="D54" s="11">
        <v>309</v>
      </c>
      <c r="E54" s="11">
        <v>128</v>
      </c>
      <c r="F54" s="9">
        <v>4</v>
      </c>
    </row>
    <row r="55" spans="1:6" ht="18" customHeight="1" x14ac:dyDescent="0.35">
      <c r="A55" s="49" t="s">
        <v>12</v>
      </c>
      <c r="B55" s="46">
        <f t="shared" si="4"/>
        <v>57750</v>
      </c>
      <c r="C55" s="48">
        <v>30782</v>
      </c>
      <c r="D55" s="46">
        <v>26968</v>
      </c>
      <c r="E55" s="46">
        <v>6466</v>
      </c>
      <c r="F55" s="45">
        <v>131</v>
      </c>
    </row>
    <row r="56" spans="1:6" ht="18" customHeight="1" x14ac:dyDescent="0.35">
      <c r="A56" s="36" t="s">
        <v>4</v>
      </c>
      <c r="B56" s="11">
        <f t="shared" si="4"/>
        <v>5090</v>
      </c>
      <c r="C56" s="35">
        <v>2812</v>
      </c>
      <c r="D56" s="11">
        <v>2278</v>
      </c>
      <c r="E56" s="11">
        <v>1873</v>
      </c>
      <c r="F56" s="9">
        <v>93</v>
      </c>
    </row>
    <row r="57" spans="1:6" ht="18" customHeight="1" x14ac:dyDescent="0.35">
      <c r="A57" s="47" t="s">
        <v>3</v>
      </c>
      <c r="B57" s="46">
        <f t="shared" si="4"/>
        <v>48249</v>
      </c>
      <c r="C57" s="46">
        <v>25184</v>
      </c>
      <c r="D57" s="46">
        <v>23065</v>
      </c>
      <c r="E57" s="46">
        <v>5390</v>
      </c>
      <c r="F57" s="45">
        <v>61</v>
      </c>
    </row>
    <row r="58" spans="1:6" ht="18" customHeight="1" x14ac:dyDescent="0.35">
      <c r="A58" s="31" t="s">
        <v>2</v>
      </c>
      <c r="B58" s="29">
        <f t="shared" si="4"/>
        <v>15967</v>
      </c>
      <c r="C58" s="30">
        <v>9477</v>
      </c>
      <c r="D58" s="30">
        <v>6490</v>
      </c>
      <c r="E58" s="30">
        <v>3077</v>
      </c>
      <c r="F58" s="27">
        <v>98</v>
      </c>
    </row>
    <row r="59" spans="1:6" ht="18" customHeight="1" x14ac:dyDescent="0.35">
      <c r="A59" s="44" t="s">
        <v>11</v>
      </c>
      <c r="B59" s="43">
        <f t="shared" si="4"/>
        <v>12801</v>
      </c>
      <c r="C59" s="43">
        <f>C60+C61</f>
        <v>6831</v>
      </c>
      <c r="D59" s="43">
        <f>D60+D61</f>
        <v>5970</v>
      </c>
      <c r="E59" s="43">
        <f>E60+E61</f>
        <v>1346</v>
      </c>
      <c r="F59" s="42">
        <f>F60+F61</f>
        <v>85</v>
      </c>
    </row>
    <row r="60" spans="1:6" ht="18" customHeight="1" x14ac:dyDescent="0.35">
      <c r="A60" s="41" t="s">
        <v>3</v>
      </c>
      <c r="B60" s="40">
        <f t="shared" si="4"/>
        <v>2039</v>
      </c>
      <c r="C60" s="40">
        <f t="shared" ref="C60:F61" si="5">C66+C71</f>
        <v>1127</v>
      </c>
      <c r="D60" s="40">
        <f t="shared" si="5"/>
        <v>912</v>
      </c>
      <c r="E60" s="40">
        <f t="shared" si="5"/>
        <v>241</v>
      </c>
      <c r="F60" s="40">
        <f t="shared" si="5"/>
        <v>12</v>
      </c>
    </row>
    <row r="61" spans="1:6" ht="18" customHeight="1" x14ac:dyDescent="0.35">
      <c r="A61" s="39" t="s">
        <v>2</v>
      </c>
      <c r="B61" s="38">
        <f t="shared" si="4"/>
        <v>10762</v>
      </c>
      <c r="C61" s="38">
        <f t="shared" si="5"/>
        <v>5704</v>
      </c>
      <c r="D61" s="38">
        <f t="shared" si="5"/>
        <v>5058</v>
      </c>
      <c r="E61" s="38">
        <f t="shared" si="5"/>
        <v>1105</v>
      </c>
      <c r="F61" s="38">
        <f t="shared" si="5"/>
        <v>73</v>
      </c>
    </row>
    <row r="62" spans="1:6" x14ac:dyDescent="0.35">
      <c r="A62" s="26" t="s">
        <v>10</v>
      </c>
      <c r="B62" s="25">
        <f t="shared" si="4"/>
        <v>3803</v>
      </c>
      <c r="C62" s="25">
        <f>C63+C64+C65</f>
        <v>1914</v>
      </c>
      <c r="D62" s="25">
        <f>D63+D64+D65</f>
        <v>1889</v>
      </c>
      <c r="E62" s="25">
        <f>E63+E64+E65</f>
        <v>203</v>
      </c>
      <c r="F62" s="24">
        <f>F66+F67</f>
        <v>28</v>
      </c>
    </row>
    <row r="63" spans="1:6" x14ac:dyDescent="0.35">
      <c r="A63" s="37" t="s">
        <v>9</v>
      </c>
      <c r="B63" s="21">
        <f t="shared" si="4"/>
        <v>3604</v>
      </c>
      <c r="C63" s="22">
        <v>1813</v>
      </c>
      <c r="D63" s="21">
        <v>1791</v>
      </c>
      <c r="E63" s="20">
        <v>176</v>
      </c>
      <c r="F63" s="19">
        <v>26</v>
      </c>
    </row>
    <row r="64" spans="1:6" x14ac:dyDescent="0.35">
      <c r="A64" s="33" t="s">
        <v>8</v>
      </c>
      <c r="B64" s="15">
        <f t="shared" si="4"/>
        <v>0</v>
      </c>
      <c r="C64" s="16">
        <v>0</v>
      </c>
      <c r="D64" s="15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11">
        <f t="shared" si="4"/>
        <v>199</v>
      </c>
      <c r="C65" s="35">
        <v>101</v>
      </c>
      <c r="D65" s="11">
        <v>98</v>
      </c>
      <c r="E65" s="34">
        <v>27</v>
      </c>
      <c r="F65" s="9">
        <v>2</v>
      </c>
    </row>
    <row r="66" spans="1:15" x14ac:dyDescent="0.35">
      <c r="A66" s="33" t="s">
        <v>3</v>
      </c>
      <c r="B66" s="15">
        <f t="shared" si="4"/>
        <v>1014</v>
      </c>
      <c r="C66" s="15">
        <v>530</v>
      </c>
      <c r="D66" s="15">
        <v>484</v>
      </c>
      <c r="E66" s="32">
        <v>14</v>
      </c>
      <c r="F66" s="13">
        <v>3</v>
      </c>
    </row>
    <row r="67" spans="1:15" x14ac:dyDescent="0.35">
      <c r="A67" s="31" t="s">
        <v>2</v>
      </c>
      <c r="B67" s="29">
        <f t="shared" si="4"/>
        <v>2789</v>
      </c>
      <c r="C67" s="30">
        <v>1384</v>
      </c>
      <c r="D67" s="29">
        <v>1405</v>
      </c>
      <c r="E67" s="28">
        <v>189</v>
      </c>
      <c r="F67" s="27">
        <v>25</v>
      </c>
    </row>
    <row r="68" spans="1:15" x14ac:dyDescent="0.35">
      <c r="A68" s="26" t="s">
        <v>6</v>
      </c>
      <c r="B68" s="25">
        <f t="shared" si="4"/>
        <v>8998</v>
      </c>
      <c r="C68" s="25">
        <f>C69+C70</f>
        <v>4917</v>
      </c>
      <c r="D68" s="25">
        <f>D69+D70</f>
        <v>4081</v>
      </c>
      <c r="E68" s="25">
        <f>E71+E72</f>
        <v>1143</v>
      </c>
      <c r="F68" s="24">
        <f>F71+F72</f>
        <v>57</v>
      </c>
    </row>
    <row r="69" spans="1:15" x14ac:dyDescent="0.35">
      <c r="A69" s="23" t="s">
        <v>5</v>
      </c>
      <c r="B69" s="21">
        <f t="shared" si="4"/>
        <v>7309</v>
      </c>
      <c r="C69" s="22">
        <v>4061</v>
      </c>
      <c r="D69" s="21">
        <v>3248</v>
      </c>
      <c r="E69" s="20">
        <v>921</v>
      </c>
      <c r="F69" s="19">
        <v>49</v>
      </c>
      <c r="G69" s="18"/>
    </row>
    <row r="70" spans="1:15" x14ac:dyDescent="0.35">
      <c r="A70" s="17" t="s">
        <v>4</v>
      </c>
      <c r="B70" s="15">
        <f t="shared" si="4"/>
        <v>1689</v>
      </c>
      <c r="C70" s="16">
        <v>856</v>
      </c>
      <c r="D70" s="15">
        <v>833</v>
      </c>
      <c r="E70" s="14">
        <v>222</v>
      </c>
      <c r="F70" s="13">
        <v>17</v>
      </c>
    </row>
    <row r="71" spans="1:15" x14ac:dyDescent="0.35">
      <c r="A71" s="12" t="s">
        <v>3</v>
      </c>
      <c r="B71" s="11">
        <f t="shared" si="4"/>
        <v>1025</v>
      </c>
      <c r="C71" s="11">
        <v>597</v>
      </c>
      <c r="D71" s="11">
        <v>428</v>
      </c>
      <c r="E71" s="10">
        <v>227</v>
      </c>
      <c r="F71" s="9">
        <v>9</v>
      </c>
    </row>
    <row r="72" spans="1:15" x14ac:dyDescent="0.35">
      <c r="A72" s="8" t="s">
        <v>2</v>
      </c>
      <c r="B72" s="6">
        <f t="shared" si="4"/>
        <v>7973</v>
      </c>
      <c r="C72" s="7">
        <v>4320</v>
      </c>
      <c r="D72" s="6">
        <v>3653</v>
      </c>
      <c r="E72" s="5">
        <v>916</v>
      </c>
      <c r="F72" s="4">
        <v>48</v>
      </c>
    </row>
    <row r="73" spans="1:15" x14ac:dyDescent="0.35">
      <c r="F73" s="3" t="s">
        <v>1</v>
      </c>
    </row>
    <row r="74" spans="1:15" ht="41.1" customHeight="1" x14ac:dyDescent="0.35">
      <c r="A74" s="142" t="s">
        <v>0</v>
      </c>
      <c r="B74" s="142"/>
      <c r="C74" s="142"/>
      <c r="D74" s="142"/>
      <c r="E74" s="142"/>
      <c r="F74" s="142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15ED-3917-4E5A-920C-E3D6E9912C51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88">
        <v>27</v>
      </c>
      <c r="C1" s="88">
        <v>28</v>
      </c>
      <c r="D1" s="88" t="e">
        <v>#VALUE!</v>
      </c>
      <c r="E1" s="88">
        <v>29</v>
      </c>
      <c r="F1" s="88" t="e">
        <v>#VALUE!</v>
      </c>
    </row>
    <row r="3" spans="1:10" ht="13.5" customHeight="1" x14ac:dyDescent="0.35">
      <c r="C3" s="84"/>
      <c r="D3" s="84"/>
      <c r="E3" s="84"/>
      <c r="F3" s="84" t="s">
        <v>41</v>
      </c>
    </row>
    <row r="4" spans="1:10" ht="3" customHeight="1" x14ac:dyDescent="0.35">
      <c r="C4" s="84"/>
      <c r="D4" s="84"/>
      <c r="E4" s="84"/>
      <c r="F4" s="84"/>
    </row>
    <row r="5" spans="1:10" ht="15" customHeight="1" x14ac:dyDescent="0.35">
      <c r="C5" s="84"/>
      <c r="D5" s="84"/>
      <c r="E5" s="84"/>
      <c r="F5" s="84" t="s">
        <v>40</v>
      </c>
    </row>
    <row r="6" spans="1:10" ht="3.75" customHeight="1" x14ac:dyDescent="0.35"/>
    <row r="7" spans="1:10" s="1" customFormat="1" ht="15.75" customHeight="1" x14ac:dyDescent="0.35">
      <c r="A7" s="136" t="s">
        <v>29</v>
      </c>
      <c r="B7" s="136"/>
      <c r="C7" s="136"/>
      <c r="D7" s="136"/>
      <c r="E7" s="136"/>
      <c r="F7" s="136"/>
      <c r="H7" s="2"/>
      <c r="I7" s="2"/>
    </row>
    <row r="8" spans="1:10" s="1" customFormat="1" ht="15.75" customHeight="1" x14ac:dyDescent="0.35">
      <c r="A8" s="136" t="s">
        <v>77</v>
      </c>
      <c r="B8" s="136"/>
      <c r="C8" s="136"/>
      <c r="D8" s="136"/>
      <c r="E8" s="136"/>
      <c r="F8" s="136"/>
      <c r="H8" s="2"/>
      <c r="I8" s="2"/>
    </row>
    <row r="9" spans="1:10" s="1" customFormat="1" ht="3" customHeight="1" x14ac:dyDescent="0.35">
      <c r="A9" s="141"/>
      <c r="B9" s="140"/>
      <c r="C9" s="139"/>
      <c r="D9" s="138"/>
      <c r="E9" s="139"/>
      <c r="F9" s="138"/>
      <c r="H9" s="135"/>
      <c r="I9" s="2"/>
    </row>
    <row r="10" spans="1:10" s="1" customFormat="1" ht="15.75" customHeight="1" x14ac:dyDescent="0.35">
      <c r="A10" s="137" t="s">
        <v>76</v>
      </c>
      <c r="B10" s="137"/>
      <c r="C10" s="136"/>
      <c r="D10" s="136"/>
      <c r="E10" s="136"/>
      <c r="F10" s="136"/>
      <c r="H10" s="135"/>
      <c r="I10" s="2"/>
    </row>
    <row r="11" spans="1:10" ht="18" customHeight="1" x14ac:dyDescent="0.35">
      <c r="A11" s="148" t="s">
        <v>75</v>
      </c>
      <c r="B11" s="134" t="s">
        <v>74</v>
      </c>
      <c r="C11" s="133" t="s">
        <v>73</v>
      </c>
      <c r="D11" s="132"/>
      <c r="E11" s="133" t="s">
        <v>72</v>
      </c>
      <c r="F11" s="132"/>
    </row>
    <row r="12" spans="1:10" ht="21.75" customHeight="1" x14ac:dyDescent="0.35">
      <c r="A12" s="149"/>
      <c r="B12" s="131" t="s">
        <v>71</v>
      </c>
      <c r="C12" s="130" t="s">
        <v>71</v>
      </c>
      <c r="D12" s="128" t="s">
        <v>70</v>
      </c>
      <c r="E12" s="129" t="s">
        <v>71</v>
      </c>
      <c r="F12" s="128" t="s">
        <v>70</v>
      </c>
    </row>
    <row r="13" spans="1:10" x14ac:dyDescent="0.35">
      <c r="A13" s="127" t="s">
        <v>28</v>
      </c>
      <c r="B13" s="126"/>
      <c r="C13" s="125"/>
      <c r="D13" s="125"/>
      <c r="E13" s="124"/>
      <c r="F13" s="123"/>
      <c r="H13" s="85"/>
    </row>
    <row r="14" spans="1:10" x14ac:dyDescent="0.35">
      <c r="A14" s="102" t="s">
        <v>69</v>
      </c>
      <c r="B14" s="101">
        <v>87.648413353199771</v>
      </c>
      <c r="C14" s="101">
        <v>85.258167216970676</v>
      </c>
      <c r="D14" s="100">
        <v>90.548895792070439</v>
      </c>
      <c r="E14" s="99">
        <v>87.73101764548241</v>
      </c>
      <c r="F14" s="98">
        <v>92.175076705359459</v>
      </c>
      <c r="H14" s="85"/>
      <c r="I14" s="85"/>
      <c r="J14" s="85"/>
    </row>
    <row r="15" spans="1:10" x14ac:dyDescent="0.35">
      <c r="A15" s="107" t="s">
        <v>68</v>
      </c>
      <c r="B15" s="106">
        <v>86.917459887450903</v>
      </c>
      <c r="C15" s="106">
        <v>84.633477839396519</v>
      </c>
      <c r="D15" s="105">
        <v>89.822984263753895</v>
      </c>
      <c r="E15" s="104">
        <v>87.088089729626077</v>
      </c>
      <c r="F15" s="103">
        <v>91.436409983971117</v>
      </c>
      <c r="H15" s="85"/>
      <c r="I15" s="85"/>
      <c r="J15" s="85"/>
    </row>
    <row r="16" spans="1:10" x14ac:dyDescent="0.35">
      <c r="A16" s="122" t="s">
        <v>26</v>
      </c>
      <c r="B16" s="121"/>
      <c r="C16" s="121"/>
      <c r="D16" s="121"/>
      <c r="E16" s="121"/>
      <c r="F16" s="120"/>
      <c r="H16" s="85"/>
      <c r="I16" s="85"/>
      <c r="J16" s="85"/>
    </row>
    <row r="17" spans="1:10" x14ac:dyDescent="0.35">
      <c r="A17" s="102" t="s">
        <v>67</v>
      </c>
      <c r="B17" s="101">
        <v>19.227953021117067</v>
      </c>
      <c r="C17" s="101">
        <v>18.177535698513175</v>
      </c>
      <c r="D17" s="100">
        <v>38.580942141638275</v>
      </c>
      <c r="E17" s="99">
        <v>28.606950446983603</v>
      </c>
      <c r="F17" s="98">
        <v>48.361513668823143</v>
      </c>
      <c r="H17" s="85"/>
      <c r="I17" s="85"/>
      <c r="J17" s="85"/>
    </row>
    <row r="18" spans="1:10" x14ac:dyDescent="0.35">
      <c r="A18" s="107" t="s">
        <v>66</v>
      </c>
      <c r="B18" s="106">
        <v>71.010364976363164</v>
      </c>
      <c r="C18" s="106">
        <v>67.590967590967594</v>
      </c>
      <c r="D18" s="105">
        <v>77.998743134706629</v>
      </c>
      <c r="E18" s="104">
        <v>85.065278757939311</v>
      </c>
      <c r="F18" s="103">
        <v>88.525570726115859</v>
      </c>
      <c r="H18" s="85"/>
      <c r="I18" s="85"/>
      <c r="J18" s="85"/>
    </row>
    <row r="19" spans="1:10" x14ac:dyDescent="0.35">
      <c r="A19" s="102" t="s">
        <v>65</v>
      </c>
      <c r="B19" s="101">
        <v>79.508051148472646</v>
      </c>
      <c r="C19" s="101">
        <v>74.489795918367349</v>
      </c>
      <c r="D19" s="100">
        <v>73.121669901048492</v>
      </c>
      <c r="E19" s="99">
        <v>84.478527607361968</v>
      </c>
      <c r="F19" s="98">
        <v>77.265666530891224</v>
      </c>
      <c r="H19" s="85"/>
      <c r="I19" s="85"/>
      <c r="J19" s="85"/>
    </row>
    <row r="20" spans="1:10" x14ac:dyDescent="0.35">
      <c r="A20" s="107" t="s">
        <v>64</v>
      </c>
      <c r="B20" s="106">
        <v>56.489253216190768</v>
      </c>
      <c r="C20" s="106">
        <v>53.478979434170768</v>
      </c>
      <c r="D20" s="105">
        <v>63.307350306076884</v>
      </c>
      <c r="E20" s="104">
        <v>66.173299353068032</v>
      </c>
      <c r="F20" s="103">
        <v>71.448553833817613</v>
      </c>
      <c r="H20" s="85"/>
      <c r="I20" s="85"/>
      <c r="J20" s="85"/>
    </row>
    <row r="21" spans="1:10" x14ac:dyDescent="0.35">
      <c r="A21" s="102" t="s">
        <v>63</v>
      </c>
      <c r="B21" s="101">
        <v>56.741253529965483</v>
      </c>
      <c r="C21" s="101">
        <v>54.011950282132268</v>
      </c>
      <c r="D21" s="100">
        <v>63.672054942229941</v>
      </c>
      <c r="E21" s="99">
        <v>66.832973926681035</v>
      </c>
      <c r="F21" s="98">
        <v>71.858408255034533</v>
      </c>
      <c r="H21" s="85"/>
      <c r="I21" s="85"/>
      <c r="J21" s="85"/>
    </row>
    <row r="22" spans="1:10" x14ac:dyDescent="0.35">
      <c r="A22" s="122" t="s">
        <v>24</v>
      </c>
      <c r="B22" s="121"/>
      <c r="C22" s="121"/>
      <c r="D22" s="121"/>
      <c r="E22" s="121"/>
      <c r="F22" s="120"/>
      <c r="H22" s="85"/>
      <c r="I22" s="85"/>
      <c r="J22" s="85"/>
    </row>
    <row r="23" spans="1:10" x14ac:dyDescent="0.35">
      <c r="A23" s="102" t="s">
        <v>50</v>
      </c>
      <c r="B23" s="101">
        <v>1.0307024082853777</v>
      </c>
      <c r="C23" s="101">
        <v>0.83337130590195319</v>
      </c>
      <c r="D23" s="100">
        <v>0.43876962396363073</v>
      </c>
      <c r="E23" s="101">
        <v>0.71210062047938338</v>
      </c>
      <c r="F23" s="98">
        <v>0.39712680772554521</v>
      </c>
      <c r="H23" s="85"/>
      <c r="I23" s="85"/>
      <c r="J23" s="85"/>
    </row>
    <row r="24" spans="1:10" x14ac:dyDescent="0.35">
      <c r="A24" s="107" t="s">
        <v>58</v>
      </c>
      <c r="B24" s="106">
        <v>0.49032865542767423</v>
      </c>
      <c r="C24" s="106">
        <v>0.7145733202175375</v>
      </c>
      <c r="D24" s="105">
        <v>0.47104009397397339</v>
      </c>
      <c r="E24" s="106">
        <v>0.93833025334404407</v>
      </c>
      <c r="F24" s="103">
        <v>0.45218297092196602</v>
      </c>
      <c r="H24" s="85"/>
      <c r="I24" s="85"/>
      <c r="J24" s="85"/>
    </row>
    <row r="25" spans="1:10" x14ac:dyDescent="0.35">
      <c r="A25" s="102" t="s">
        <v>57</v>
      </c>
      <c r="B25" s="101">
        <v>95.159268334378027</v>
      </c>
      <c r="C25" s="101">
        <v>94.57817709216252</v>
      </c>
      <c r="D25" s="100">
        <v>96.9551648474215</v>
      </c>
      <c r="E25" s="101">
        <v>95.304458451396528</v>
      </c>
      <c r="F25" s="98">
        <v>98.150026946338286</v>
      </c>
      <c r="H25" s="85"/>
      <c r="I25" s="85"/>
      <c r="J25" s="85"/>
    </row>
    <row r="26" spans="1:10" x14ac:dyDescent="0.35">
      <c r="A26" s="107" t="s">
        <v>56</v>
      </c>
      <c r="B26" s="106">
        <v>98.586103075742372</v>
      </c>
      <c r="C26" s="106">
        <v>98.950635530594141</v>
      </c>
      <c r="D26" s="105">
        <v>101.9341223948949</v>
      </c>
      <c r="E26" s="106">
        <v>97.529366511820584</v>
      </c>
      <c r="F26" s="103">
        <v>103.78941864704068</v>
      </c>
      <c r="H26" s="85"/>
      <c r="I26" s="85"/>
      <c r="J26" s="85"/>
    </row>
    <row r="27" spans="1:10" x14ac:dyDescent="0.35">
      <c r="A27" s="102" t="s">
        <v>62</v>
      </c>
      <c r="B27" s="101">
        <v>99.588721771020474</v>
      </c>
      <c r="C27" s="101">
        <v>97.585932597815187</v>
      </c>
      <c r="D27" s="100">
        <v>101.72046958709984</v>
      </c>
      <c r="E27" s="101">
        <v>96.744504412228167</v>
      </c>
      <c r="F27" s="98">
        <v>101.19578388660526</v>
      </c>
      <c r="H27" s="85"/>
      <c r="I27" s="85"/>
      <c r="J27" s="85"/>
    </row>
    <row r="28" spans="1:10" x14ac:dyDescent="0.35">
      <c r="A28" s="107" t="s">
        <v>61</v>
      </c>
      <c r="B28" s="106">
        <v>94.112930765690194</v>
      </c>
      <c r="C28" s="106">
        <v>92.787442501618116</v>
      </c>
      <c r="D28" s="105">
        <v>96.314695429046509</v>
      </c>
      <c r="E28" s="106">
        <v>91.98757091080995</v>
      </c>
      <c r="F28" s="103">
        <v>95.816612827648669</v>
      </c>
      <c r="H28" s="85"/>
      <c r="I28" s="85"/>
      <c r="J28" s="85"/>
    </row>
    <row r="29" spans="1:10" x14ac:dyDescent="0.35">
      <c r="A29" s="122" t="s">
        <v>20</v>
      </c>
      <c r="B29" s="121"/>
      <c r="C29" s="121"/>
      <c r="D29" s="121"/>
      <c r="E29" s="121"/>
      <c r="F29" s="120"/>
      <c r="H29" s="85"/>
      <c r="I29" s="85"/>
      <c r="J29" s="85"/>
    </row>
    <row r="30" spans="1:10" x14ac:dyDescent="0.35">
      <c r="A30" s="102" t="s">
        <v>51</v>
      </c>
      <c r="B30" s="101">
        <v>97.228151310328471</v>
      </c>
      <c r="C30" s="101">
        <v>95.817240037126865</v>
      </c>
      <c r="D30" s="100">
        <v>93.105822485612947</v>
      </c>
      <c r="E30" s="99">
        <v>97.000746825989552</v>
      </c>
      <c r="F30" s="98">
        <v>95.031628893548429</v>
      </c>
      <c r="H30" s="85"/>
      <c r="I30" s="85"/>
      <c r="J30" s="85"/>
    </row>
    <row r="31" spans="1:10" x14ac:dyDescent="0.35">
      <c r="A31" s="107" t="s">
        <v>50</v>
      </c>
      <c r="B31" s="106">
        <v>4.5184550065597184</v>
      </c>
      <c r="C31" s="106">
        <v>3.991128456116777</v>
      </c>
      <c r="D31" s="105">
        <v>2.54778221710249</v>
      </c>
      <c r="E31" s="104">
        <v>3.6339180144705829</v>
      </c>
      <c r="F31" s="103">
        <v>2.2918429271874818</v>
      </c>
      <c r="H31" s="85"/>
      <c r="I31" s="85"/>
      <c r="J31" s="85"/>
    </row>
    <row r="32" spans="1:10" x14ac:dyDescent="0.35">
      <c r="A32" s="102" t="s">
        <v>58</v>
      </c>
      <c r="B32" s="101">
        <v>1.8108546055262131</v>
      </c>
      <c r="C32" s="101">
        <v>1.7881720546638724</v>
      </c>
      <c r="D32" s="100">
        <v>2.2384648038226818</v>
      </c>
      <c r="E32" s="99">
        <v>1.7647382616832741</v>
      </c>
      <c r="F32" s="98">
        <v>2.1403697727291782</v>
      </c>
      <c r="H32" s="85"/>
      <c r="I32" s="85"/>
      <c r="J32" s="85"/>
    </row>
    <row r="33" spans="1:10" x14ac:dyDescent="0.35">
      <c r="A33" s="107" t="s">
        <v>57</v>
      </c>
      <c r="B33" s="106">
        <v>89.381434279214915</v>
      </c>
      <c r="C33" s="106">
        <v>90.008904719501331</v>
      </c>
      <c r="D33" s="105">
        <v>92.865387576774694</v>
      </c>
      <c r="E33" s="104">
        <v>88.855688020245751</v>
      </c>
      <c r="F33" s="103">
        <v>92.527364626036132</v>
      </c>
      <c r="H33" s="85"/>
      <c r="I33" s="85"/>
      <c r="J33" s="85"/>
    </row>
    <row r="34" spans="1:10" x14ac:dyDescent="0.35">
      <c r="A34" s="102" t="s">
        <v>56</v>
      </c>
      <c r="B34" s="101">
        <v>89.368402636029629</v>
      </c>
      <c r="C34" s="101">
        <v>88.767893211557038</v>
      </c>
      <c r="D34" s="100">
        <v>91.876923795994145</v>
      </c>
      <c r="E34" s="99">
        <v>85.585903083700444</v>
      </c>
      <c r="F34" s="98">
        <v>89.804444151920364</v>
      </c>
      <c r="H34" s="85"/>
      <c r="I34" s="85"/>
      <c r="J34" s="85"/>
    </row>
    <row r="35" spans="1:10" x14ac:dyDescent="0.35">
      <c r="A35" s="107" t="s">
        <v>60</v>
      </c>
      <c r="B35" s="106">
        <v>94.897459022821735</v>
      </c>
      <c r="C35" s="106">
        <v>92.135615200220073</v>
      </c>
      <c r="D35" s="105">
        <v>94.670888333927934</v>
      </c>
      <c r="E35" s="104">
        <v>90.69863539319762</v>
      </c>
      <c r="F35" s="103">
        <v>94.056932269296951</v>
      </c>
      <c r="G35" s="111"/>
      <c r="H35" s="85"/>
      <c r="I35" s="85"/>
      <c r="J35" s="85"/>
    </row>
    <row r="36" spans="1:10" x14ac:dyDescent="0.35">
      <c r="A36" s="102" t="s">
        <v>59</v>
      </c>
      <c r="B36" s="101">
        <v>84.943337777429221</v>
      </c>
      <c r="C36" s="101">
        <v>82.07352536644791</v>
      </c>
      <c r="D36" s="100">
        <v>83.855666307503625</v>
      </c>
      <c r="E36" s="99">
        <v>80.793183852972717</v>
      </c>
      <c r="F36" s="119">
        <v>83.305904438452842</v>
      </c>
      <c r="H36" s="85"/>
      <c r="I36" s="85"/>
      <c r="J36" s="85"/>
    </row>
    <row r="37" spans="1:10" x14ac:dyDescent="0.35">
      <c r="A37" s="118" t="s">
        <v>10</v>
      </c>
      <c r="B37" s="117"/>
      <c r="C37" s="117"/>
      <c r="D37" s="117"/>
      <c r="E37" s="117"/>
      <c r="F37" s="116"/>
      <c r="H37" s="85"/>
      <c r="I37" s="85"/>
      <c r="J37" s="85"/>
    </row>
    <row r="38" spans="1:10" x14ac:dyDescent="0.35">
      <c r="A38" s="102" t="s">
        <v>51</v>
      </c>
      <c r="B38" s="101">
        <v>90.567267277051897</v>
      </c>
      <c r="C38" s="101">
        <v>90.485512920908377</v>
      </c>
      <c r="D38" s="100">
        <v>90.303209142071765</v>
      </c>
      <c r="E38" s="99">
        <v>91.541353383458642</v>
      </c>
      <c r="F38" s="98">
        <v>91.299275514381847</v>
      </c>
      <c r="H38" s="85"/>
      <c r="I38" s="85"/>
      <c r="J38" s="85"/>
    </row>
    <row r="39" spans="1:10" x14ac:dyDescent="0.35">
      <c r="A39" s="107" t="s">
        <v>50</v>
      </c>
      <c r="B39" s="106">
        <v>16.271349788509937</v>
      </c>
      <c r="C39" s="106">
        <v>12.348763994183498</v>
      </c>
      <c r="D39" s="105">
        <v>9.2482325469735116</v>
      </c>
      <c r="E39" s="104">
        <v>12.591907781645894</v>
      </c>
      <c r="F39" s="103">
        <v>9.2356339587371004</v>
      </c>
      <c r="H39" s="85"/>
      <c r="I39" s="85"/>
      <c r="J39" s="85"/>
    </row>
    <row r="40" spans="1:10" x14ac:dyDescent="0.35">
      <c r="A40" s="102" t="s">
        <v>58</v>
      </c>
      <c r="B40" s="101">
        <v>11.413579693246035</v>
      </c>
      <c r="C40" s="101">
        <v>11.326449319769583</v>
      </c>
      <c r="D40" s="100">
        <v>12.053771184956375</v>
      </c>
      <c r="E40" s="99">
        <v>11.203391161001653</v>
      </c>
      <c r="F40" s="98">
        <v>11.972895108572123</v>
      </c>
      <c r="H40" s="85"/>
      <c r="I40" s="85"/>
      <c r="J40" s="85"/>
    </row>
    <row r="41" spans="1:10" x14ac:dyDescent="0.35">
      <c r="A41" s="107" t="s">
        <v>57</v>
      </c>
      <c r="B41" s="106">
        <v>55.296224698658179</v>
      </c>
      <c r="C41" s="106">
        <v>63.410733507611873</v>
      </c>
      <c r="D41" s="105">
        <v>70.240267556253883</v>
      </c>
      <c r="E41" s="104">
        <v>67.337026910346808</v>
      </c>
      <c r="F41" s="103">
        <v>73.212677807008802</v>
      </c>
      <c r="H41" s="85"/>
      <c r="I41" s="85"/>
      <c r="J41" s="85"/>
    </row>
    <row r="42" spans="1:10" x14ac:dyDescent="0.35">
      <c r="A42" s="102" t="s">
        <v>56</v>
      </c>
      <c r="B42" s="101">
        <v>56.698536699119686</v>
      </c>
      <c r="C42" s="101">
        <v>60.124810451417247</v>
      </c>
      <c r="D42" s="100">
        <v>63.600436314437992</v>
      </c>
      <c r="E42" s="99">
        <v>54.57646887301356</v>
      </c>
      <c r="F42" s="98">
        <v>60.075548708762398</v>
      </c>
      <c r="H42" s="85"/>
      <c r="I42" s="85"/>
      <c r="J42" s="85"/>
    </row>
    <row r="43" spans="1:10" x14ac:dyDescent="0.35">
      <c r="A43" s="107" t="s">
        <v>55</v>
      </c>
      <c r="B43" s="106">
        <v>72.538377139750082</v>
      </c>
      <c r="C43" s="106">
        <v>68.906377680065361</v>
      </c>
      <c r="D43" s="105">
        <v>72.862042704061992</v>
      </c>
      <c r="E43" s="104">
        <v>67.545785401360149</v>
      </c>
      <c r="F43" s="103">
        <v>73.197457862217306</v>
      </c>
      <c r="H43" s="85"/>
      <c r="I43" s="85"/>
      <c r="J43" s="85"/>
    </row>
    <row r="44" spans="1:10" x14ac:dyDescent="0.35">
      <c r="A44" s="102" t="s">
        <v>54</v>
      </c>
      <c r="B44" s="101">
        <v>75.940616170344981</v>
      </c>
      <c r="C44" s="101">
        <v>72.605937974240248</v>
      </c>
      <c r="D44" s="100">
        <v>78.400458538136903</v>
      </c>
      <c r="E44" s="99">
        <v>71.172516074895839</v>
      </c>
      <c r="F44" s="98">
        <v>78.773452915283144</v>
      </c>
      <c r="H44" s="85"/>
      <c r="I44" s="115"/>
      <c r="J44" s="115"/>
    </row>
    <row r="45" spans="1:10" x14ac:dyDescent="0.35">
      <c r="A45" s="107" t="s">
        <v>53</v>
      </c>
      <c r="B45" s="106">
        <v>60.441203600314587</v>
      </c>
      <c r="C45" s="106">
        <v>57.974045682711392</v>
      </c>
      <c r="D45" s="105">
        <v>60.675903080458362</v>
      </c>
      <c r="E45" s="104">
        <v>52.788104089219331</v>
      </c>
      <c r="F45" s="103">
        <v>59.146954254527095</v>
      </c>
      <c r="H45" s="85"/>
      <c r="I45" s="85"/>
      <c r="J45" s="85"/>
    </row>
    <row r="46" spans="1:10" x14ac:dyDescent="0.35">
      <c r="A46" s="114" t="s">
        <v>52</v>
      </c>
      <c r="B46" s="113"/>
      <c r="C46" s="113"/>
      <c r="D46" s="113"/>
      <c r="E46" s="113"/>
      <c r="F46" s="112"/>
      <c r="H46" s="85"/>
      <c r="I46" s="85"/>
      <c r="J46" s="85"/>
    </row>
    <row r="47" spans="1:10" x14ac:dyDescent="0.35">
      <c r="A47" s="102" t="s">
        <v>51</v>
      </c>
      <c r="B47" s="101">
        <v>62.614268212232595</v>
      </c>
      <c r="C47" s="101">
        <v>67.408906882591097</v>
      </c>
      <c r="D47" s="100">
        <v>68.075095204300098</v>
      </c>
      <c r="E47" s="99">
        <v>67.517124987590591</v>
      </c>
      <c r="F47" s="98">
        <v>69.076045758390194</v>
      </c>
      <c r="H47" s="85"/>
      <c r="I47" s="85"/>
      <c r="J47" s="85"/>
    </row>
    <row r="48" spans="1:10" x14ac:dyDescent="0.35">
      <c r="A48" s="107" t="s">
        <v>50</v>
      </c>
      <c r="B48" s="106">
        <v>6.6942026362125429</v>
      </c>
      <c r="C48" s="106">
        <v>6.5943916381963952</v>
      </c>
      <c r="D48" s="105">
        <v>8.5439504278360232</v>
      </c>
      <c r="E48" s="104">
        <v>6.5049763918611392</v>
      </c>
      <c r="F48" s="103">
        <v>8.3337551407782318</v>
      </c>
      <c r="H48" s="85"/>
      <c r="I48" s="85"/>
      <c r="J48" s="85"/>
    </row>
    <row r="49" spans="1:10" x14ac:dyDescent="0.35">
      <c r="A49" s="102" t="s">
        <v>49</v>
      </c>
      <c r="B49" s="101">
        <v>31.884544305028694</v>
      </c>
      <c r="C49" s="101">
        <v>31.302889677494832</v>
      </c>
      <c r="D49" s="100">
        <v>30.621789759912865</v>
      </c>
      <c r="E49" s="99">
        <v>31.328965611513599</v>
      </c>
      <c r="F49" s="98">
        <v>30.806235981494044</v>
      </c>
      <c r="G49" s="111"/>
      <c r="H49" s="85"/>
      <c r="I49" s="85"/>
      <c r="J49" s="85"/>
    </row>
    <row r="50" spans="1:10" x14ac:dyDescent="0.35">
      <c r="A50" s="107" t="s">
        <v>48</v>
      </c>
      <c r="B50" s="106">
        <v>35.472290647582803</v>
      </c>
      <c r="C50" s="106">
        <v>34.575395015379577</v>
      </c>
      <c r="D50" s="105">
        <v>34.484611655840489</v>
      </c>
      <c r="E50" s="104">
        <v>34.467255580337543</v>
      </c>
      <c r="F50" s="103">
        <v>34.683476115270743</v>
      </c>
      <c r="H50" s="85"/>
      <c r="I50" s="85"/>
      <c r="J50" s="85"/>
    </row>
    <row r="51" spans="1:10" x14ac:dyDescent="0.35">
      <c r="A51" s="102" t="s">
        <v>47</v>
      </c>
      <c r="B51" s="101">
        <v>39.845546773760468</v>
      </c>
      <c r="C51" s="101">
        <v>38.849514052138524</v>
      </c>
      <c r="D51" s="100">
        <v>42.545891307303194</v>
      </c>
      <c r="E51" s="99">
        <v>38.726049770815408</v>
      </c>
      <c r="F51" s="98">
        <v>42.84947472301657</v>
      </c>
      <c r="G51" s="111"/>
      <c r="H51" s="85"/>
      <c r="I51" s="85"/>
      <c r="J51" s="85"/>
    </row>
    <row r="52" spans="1:10" x14ac:dyDescent="0.35">
      <c r="A52" s="110" t="s">
        <v>46</v>
      </c>
      <c r="B52" s="109"/>
      <c r="C52" s="109"/>
      <c r="D52" s="109"/>
      <c r="E52" s="109"/>
      <c r="F52" s="108"/>
      <c r="H52" s="85"/>
      <c r="I52" s="85"/>
      <c r="J52" s="85"/>
    </row>
    <row r="53" spans="1:10" x14ac:dyDescent="0.35">
      <c r="A53" s="107" t="s">
        <v>45</v>
      </c>
      <c r="B53" s="106">
        <v>13.595985057081295</v>
      </c>
      <c r="C53" s="106">
        <v>13.204943897640717</v>
      </c>
      <c r="D53" s="105">
        <v>13.596245811879109</v>
      </c>
      <c r="E53" s="104">
        <v>13.039741818981801</v>
      </c>
      <c r="F53" s="103">
        <v>13.486295481889201</v>
      </c>
      <c r="H53" s="85"/>
      <c r="I53" s="85"/>
      <c r="J53" s="85"/>
    </row>
    <row r="54" spans="1:10" x14ac:dyDescent="0.35">
      <c r="A54" s="102" t="s">
        <v>44</v>
      </c>
      <c r="B54" s="101">
        <v>9.84</v>
      </c>
      <c r="C54" s="101">
        <v>9.9473998771948917</v>
      </c>
      <c r="D54" s="100">
        <v>9.8556313156987496</v>
      </c>
      <c r="E54" s="99">
        <v>10.054799754389784</v>
      </c>
      <c r="F54" s="98">
        <v>9.971262631397499</v>
      </c>
      <c r="H54" s="85"/>
      <c r="I54" s="85"/>
      <c r="J54" s="85"/>
    </row>
    <row r="55" spans="1:10" x14ac:dyDescent="0.35">
      <c r="A55" s="97" t="s">
        <v>43</v>
      </c>
      <c r="B55" s="96">
        <v>4.3542936910656769</v>
      </c>
      <c r="C55" s="96">
        <v>4.2548916068818059</v>
      </c>
      <c r="D55" s="95">
        <v>4.4889089590471833</v>
      </c>
      <c r="E55" s="94">
        <v>4.1153433603812424</v>
      </c>
      <c r="F55" s="93">
        <v>4.3201167946423542</v>
      </c>
      <c r="H55" s="85"/>
      <c r="I55" s="85"/>
      <c r="J55" s="85"/>
    </row>
    <row r="56" spans="1:10" ht="14.25" customHeight="1" x14ac:dyDescent="0.35">
      <c r="A56" s="92"/>
      <c r="B56" s="91"/>
      <c r="D56" s="90"/>
      <c r="F56" s="90" t="s">
        <v>1</v>
      </c>
      <c r="H56" s="85"/>
      <c r="I56" s="85"/>
      <c r="J56" s="85"/>
    </row>
    <row r="57" spans="1:10" s="88" customFormat="1" ht="83.25" customHeight="1" x14ac:dyDescent="0.35">
      <c r="A57" s="150" t="s">
        <v>42</v>
      </c>
      <c r="B57" s="150"/>
      <c r="C57" s="150"/>
      <c r="D57" s="150"/>
      <c r="E57" s="89"/>
      <c r="H57" s="85"/>
      <c r="I57" s="85"/>
      <c r="J57" s="85"/>
    </row>
    <row r="58" spans="1:10" x14ac:dyDescent="0.35">
      <c r="B58" s="85"/>
      <c r="C58" s="85"/>
      <c r="D58" s="85"/>
      <c r="E58" s="87"/>
      <c r="H58" s="85"/>
      <c r="I58" s="85"/>
      <c r="J58" s="85"/>
    </row>
    <row r="59" spans="1:10" x14ac:dyDescent="0.35">
      <c r="H59" s="85"/>
      <c r="I59" s="85"/>
      <c r="J59" s="85"/>
    </row>
    <row r="60" spans="1:10" x14ac:dyDescent="0.35">
      <c r="E60" s="86"/>
      <c r="H60" s="85"/>
      <c r="I60" s="85"/>
      <c r="J60" s="85"/>
    </row>
    <row r="61" spans="1:10" x14ac:dyDescent="0.35">
      <c r="E61" s="86"/>
      <c r="H61" s="85"/>
    </row>
    <row r="62" spans="1:10" x14ac:dyDescent="0.35">
      <c r="A62" s="86"/>
      <c r="B62" s="86"/>
      <c r="C62" s="86"/>
      <c r="D62" s="86"/>
      <c r="E62" s="86"/>
      <c r="H62" s="85"/>
    </row>
    <row r="63" spans="1:10" x14ac:dyDescent="0.35">
      <c r="A63" s="86"/>
      <c r="B63" s="86"/>
      <c r="C63" s="86"/>
      <c r="D63" s="86"/>
      <c r="E63" s="86"/>
      <c r="H63" s="85"/>
    </row>
    <row r="64" spans="1:10" x14ac:dyDescent="0.35">
      <c r="A64" s="86"/>
      <c r="B64" s="86"/>
      <c r="C64" s="86"/>
      <c r="D64" s="86"/>
      <c r="E64" s="86"/>
      <c r="H64" s="85"/>
    </row>
    <row r="65" spans="8:8" x14ac:dyDescent="0.35">
      <c r="H65" s="85"/>
    </row>
    <row r="66" spans="8:8" x14ac:dyDescent="0.35">
      <c r="H66" s="85"/>
    </row>
    <row r="67" spans="8:8" x14ac:dyDescent="0.35">
      <c r="H67" s="85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Mor</vt:lpstr>
      <vt:lpstr>MOR</vt:lpstr>
      <vt:lpstr>'Est Mor'!Área_de_impresión</vt:lpstr>
      <vt:lpstr>MOR!Área_de_impresión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2022-09-07T17:32:32Z</cp:lastPrinted>
  <dcterms:created xsi:type="dcterms:W3CDTF">2022-09-06T18:56:21Z</dcterms:created>
  <dcterms:modified xsi:type="dcterms:W3CDTF">2022-09-07T19:12:00Z</dcterms:modified>
</cp:coreProperties>
</file>