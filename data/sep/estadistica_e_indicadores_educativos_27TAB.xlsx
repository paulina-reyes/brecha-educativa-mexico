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6AAD6FD5-EF81-42E5-8EAC-E96655631916}" xr6:coauthVersionLast="47" xr6:coauthVersionMax="47" xr10:uidLastSave="{00000000-0000-0000-0000-000000000000}"/>
  <bookViews>
    <workbookView xWindow="-120" yWindow="-120" windowWidth="29040" windowHeight="15840" xr2:uid="{87FB46AD-0E4C-4D00-B110-479C4CDAD2F0}"/>
  </bookViews>
  <sheets>
    <sheet name="Est Tab" sheetId="1" r:id="rId1"/>
    <sheet name="TAB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Tab'!$A$1:$F$74</definedName>
    <definedName name="_xlnm.Print_Area" localSheetId="1">TAB!$A$1:$F$57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7" i="1"/>
  <c r="D16" i="1" s="1"/>
  <c r="D13" i="1" s="1"/>
  <c r="E17" i="1"/>
  <c r="E16" i="1" s="1"/>
  <c r="E13" i="1" s="1"/>
  <c r="C18" i="1"/>
  <c r="B18" i="1" s="1"/>
  <c r="D18" i="1"/>
  <c r="D15" i="1" s="1"/>
  <c r="E18" i="1"/>
  <c r="E15" i="1" s="1"/>
  <c r="B20" i="1"/>
  <c r="C20" i="1"/>
  <c r="C19" i="1" s="1"/>
  <c r="D20" i="1"/>
  <c r="D19" i="1" s="1"/>
  <c r="E20" i="1"/>
  <c r="E19" i="1" s="1"/>
  <c r="F20" i="1"/>
  <c r="F19" i="1" s="1"/>
  <c r="C21" i="1"/>
  <c r="D21" i="1"/>
  <c r="B21" i="1" s="1"/>
  <c r="E21" i="1"/>
  <c r="F21" i="1"/>
  <c r="F18" i="1" s="1"/>
  <c r="F15" i="1" s="1"/>
  <c r="C22" i="1"/>
  <c r="B22" i="1" s="1"/>
  <c r="D22" i="1"/>
  <c r="E22" i="1"/>
  <c r="F22" i="1"/>
  <c r="B23" i="1"/>
  <c r="B24" i="1"/>
  <c r="B25" i="1"/>
  <c r="B26" i="1"/>
  <c r="B27" i="1"/>
  <c r="C27" i="1"/>
  <c r="D27" i="1"/>
  <c r="E27" i="1"/>
  <c r="F27" i="1"/>
  <c r="B28" i="1"/>
  <c r="B29" i="1"/>
  <c r="B30" i="1"/>
  <c r="B31" i="1"/>
  <c r="B32" i="1"/>
  <c r="C33" i="1"/>
  <c r="D33" i="1"/>
  <c r="B33" i="1" s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C59" i="1"/>
  <c r="C60" i="1"/>
  <c r="B60" i="1" s="1"/>
  <c r="D60" i="1"/>
  <c r="E60" i="1"/>
  <c r="E59" i="1" s="1"/>
  <c r="F60" i="1"/>
  <c r="F59" i="1" s="1"/>
  <c r="C61" i="1"/>
  <c r="B61" i="1" s="1"/>
  <c r="D61" i="1"/>
  <c r="D59" i="1" s="1"/>
  <c r="E61" i="1"/>
  <c r="F61" i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B19" i="1" l="1"/>
  <c r="B59" i="1"/>
  <c r="B15" i="1"/>
  <c r="C17" i="1"/>
  <c r="E14" i="1"/>
  <c r="D14" i="1"/>
  <c r="F17" i="1"/>
  <c r="C16" i="1" l="1"/>
  <c r="C14" i="1"/>
  <c r="B14" i="1" s="1"/>
  <c r="B17" i="1"/>
  <c r="F16" i="1"/>
  <c r="F13" i="1" s="1"/>
  <c r="F14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<sst xmlns="http://schemas.openxmlformats.org/spreadsheetml/2006/main" count="133" uniqueCount="78">
  <si>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</si>
  <si>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</si>
  <si>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</si>
  <si>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</si>
  <si>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</si>
  <si>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</si>
  <si>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</si>
  <si>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</si>
  <si>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</si>
  <si>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</si>
  <si>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</si>
  <si>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</si>
  <si>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</si>
  <si>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</si>
  <si>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</si>
  <si>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</si>
  <si>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</si>
  <si>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</si>
  <si>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</si>
  <si>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</si>
  <si>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</si>
  <si>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</si>
  <si>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</si>
  <si>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</si>
  <si>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</si>
  <si>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</si>
  <si>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</si>
  <si>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</si>
  <si>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</si>
  <si>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</si>
  <si>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</si>
  <si>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</si>
  <si>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</si>
  <si>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</si>
  <si>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</si>
  <si>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</si>
  <si>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</si>
  <si>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</si>
  <si>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Tabasco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</si>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</sst>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41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20" xfId="1" applyNumberFormat="1" applyFont="1" applyFill="1" applyBorder="1" applyAlignment="1">
      <alignment horizontal="center" vertical="center"/>
    </xf>
    <xf numFmtId="3" fontId="7" fillId="7" borderId="21" xfId="1" applyNumberFormat="1" applyFont="1" applyFill="1" applyBorder="1" applyAlignment="1">
      <alignment horizontal="center" vertical="center"/>
    </xf>
    <xf numFmtId="3" fontId="7" fillId="7" borderId="21" xfId="1" quotePrefix="1" applyNumberFormat="1" applyFont="1" applyFill="1" applyBorder="1" applyAlignment="1">
      <alignment horizontal="center" vertical="center"/>
    </xf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3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9" xfId="0" applyNumberFormat="1" applyFont="1" applyBorder="1" applyAlignment="1">
      <alignment horizontal="center" vertical="center"/>
    </xf>
    <xf numFmtId="167" fontId="7" fillId="0" borderId="30" xfId="0" applyNumberFormat="1" applyFont="1" applyBorder="1" applyAlignment="1">
      <alignment horizontal="center" vertical="center"/>
    </xf>
    <xf numFmtId="167" fontId="7" fillId="0" borderId="31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30" xfId="0" applyNumberFormat="1" applyFont="1" applyFill="1" applyBorder="1" applyAlignment="1">
      <alignment horizontal="center" vertical="center"/>
    </xf>
    <xf numFmtId="167" fontId="7" fillId="11" borderId="31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9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9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9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2" xfId="0" applyNumberFormat="1" applyFont="1" applyBorder="1" applyAlignment="1">
      <alignment horizontal="center" vertical="center"/>
    </xf>
    <xf numFmtId="0" fontId="5" fillId="8" borderId="29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9" xfId="0" applyFont="1" applyFill="1" applyBorder="1" applyAlignment="1">
      <alignment vertical="center"/>
    </xf>
    <xf numFmtId="0" fontId="7" fillId="8" borderId="33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3" xfId="0" applyFont="1" applyFill="1" applyBorder="1" applyAlignment="1">
      <alignment vertical="center"/>
    </xf>
    <xf numFmtId="0" fontId="13" fillId="8" borderId="34" xfId="0" applyFont="1" applyFill="1" applyBorder="1" applyAlignment="1">
      <alignment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Continuous" vertical="center"/>
    </xf>
    <xf numFmtId="0" fontId="5" fillId="0" borderId="40" xfId="0" applyFont="1" applyBorder="1" applyAlignment="1">
      <alignment horizontal="centerContinuous" vertical="center"/>
    </xf>
    <xf numFmtId="0" fontId="5" fillId="0" borderId="24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4" xfId="1" applyNumberFormat="1" applyFont="1" applyBorder="1" applyAlignment="1">
      <alignment horizontal="center" vertical="center" wrapText="1"/>
    </xf>
    <xf numFmtId="1" fontId="5" fillId="0" borderId="22" xfId="1" applyNumberFormat="1" applyFont="1" applyBorder="1" applyAlignment="1">
      <alignment horizontal="center" vertical="center"/>
    </xf>
    <xf numFmtId="1" fontId="5" fillId="0" borderId="25" xfId="1" applyNumberFormat="1" applyFont="1" applyBorder="1" applyAlignment="1">
      <alignment horizontal="center" vertical="center"/>
    </xf>
    <xf numFmtId="1" fontId="5" fillId="0" borderId="24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9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E2556EDA-D045-468E-96D3-94C58D121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65306D3-C9B1-466E-B8BA-F37A96AE2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995C6DA-A7BA-441C-80B9-2B9909BD8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CBDB-E51A-4EF8-8E87-51A21FA4A28F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8" t="s">
        <v>41</v>
      </c>
    </row>
    <row r="3" spans="1:16" x14ac:dyDescent="0.35">
      <c r="F3" s="88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6" customFormat="1" ht="15.75" customHeight="1" x14ac:dyDescent="0.35">
      <c r="A7" s="146" t="s">
        <v>39</v>
      </c>
      <c r="B7" s="146"/>
      <c r="C7" s="146"/>
      <c r="D7" s="146"/>
      <c r="E7" s="146"/>
      <c r="F7" s="146"/>
      <c r="H7"/>
      <c r="I7"/>
      <c r="J7"/>
      <c r="K7"/>
      <c r="L7"/>
      <c r="M7"/>
      <c r="N7"/>
      <c r="O7"/>
      <c r="P7" s="2"/>
    </row>
    <row r="8" spans="1:16" s="86" customFormat="1" ht="15.75" customHeight="1" x14ac:dyDescent="0.35">
      <c r="A8" s="146" t="s">
        <v>38</v>
      </c>
      <c r="B8" s="146"/>
      <c r="C8" s="146"/>
      <c r="D8" s="146"/>
      <c r="E8" s="146"/>
      <c r="F8" s="146"/>
      <c r="H8"/>
      <c r="I8"/>
      <c r="J8"/>
      <c r="K8"/>
      <c r="L8"/>
      <c r="M8"/>
      <c r="N8"/>
      <c r="O8"/>
      <c r="P8" s="2"/>
    </row>
    <row r="9" spans="1:16" s="86" customFormat="1" ht="15.75" customHeight="1" x14ac:dyDescent="0.35">
      <c r="A9" s="87" t="s">
        <v>77</v>
      </c>
      <c r="B9" s="87"/>
      <c r="C9" s="87"/>
      <c r="D9" s="87"/>
      <c r="E9" s="87"/>
      <c r="F9" s="87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7" t="s">
        <v>37</v>
      </c>
      <c r="B11" s="149" t="s">
        <v>36</v>
      </c>
      <c r="C11" s="149"/>
      <c r="D11" s="149"/>
      <c r="E11" s="150" t="s">
        <v>35</v>
      </c>
      <c r="F11" s="150" t="s">
        <v>34</v>
      </c>
    </row>
    <row r="12" spans="1:16" ht="15" customHeight="1" x14ac:dyDescent="0.35">
      <c r="A12" s="148"/>
      <c r="B12" s="85" t="s">
        <v>33</v>
      </c>
      <c r="C12" s="85" t="s">
        <v>32</v>
      </c>
      <c r="D12" s="85" t="s">
        <v>31</v>
      </c>
      <c r="E12" s="148"/>
      <c r="F12" s="148"/>
    </row>
    <row r="13" spans="1:16" ht="18" customHeight="1" x14ac:dyDescent="0.35">
      <c r="A13" s="84" t="s">
        <v>30</v>
      </c>
      <c r="B13" s="83">
        <f t="shared" ref="B13:B44" si="0">C13+D13</f>
        <v>734693</v>
      </c>
      <c r="C13" s="83">
        <f>C16+C62+C68</f>
        <v>365040</v>
      </c>
      <c r="D13" s="83">
        <f>D16+D62+D68</f>
        <v>369653</v>
      </c>
      <c r="E13" s="83">
        <f>E16+E62+E68</f>
        <v>38503</v>
      </c>
      <c r="F13" s="83">
        <f>F16+F62+F68</f>
        <v>5647</v>
      </c>
    </row>
    <row r="14" spans="1:16" ht="18" customHeight="1" x14ac:dyDescent="0.35">
      <c r="A14" s="40" t="s">
        <v>3</v>
      </c>
      <c r="B14" s="39">
        <f t="shared" si="0"/>
        <v>666872</v>
      </c>
      <c r="C14" s="39">
        <f t="shared" ref="C14:F15" si="1">C17+C66+C71</f>
        <v>328191</v>
      </c>
      <c r="D14" s="39">
        <f t="shared" si="1"/>
        <v>338681</v>
      </c>
      <c r="E14" s="39">
        <f t="shared" si="1"/>
        <v>31626</v>
      </c>
      <c r="F14" s="39">
        <f t="shared" si="1"/>
        <v>5143</v>
      </c>
    </row>
    <row r="15" spans="1:16" ht="18" customHeight="1" x14ac:dyDescent="0.35">
      <c r="A15" s="38" t="s">
        <v>2</v>
      </c>
      <c r="B15" s="37">
        <f t="shared" si="0"/>
        <v>67821</v>
      </c>
      <c r="C15" s="37">
        <f t="shared" si="1"/>
        <v>36849</v>
      </c>
      <c r="D15" s="37">
        <f t="shared" si="1"/>
        <v>30972</v>
      </c>
      <c r="E15" s="37">
        <f t="shared" si="1"/>
        <v>6877</v>
      </c>
      <c r="F15" s="37">
        <f t="shared" si="1"/>
        <v>504</v>
      </c>
    </row>
    <row r="16" spans="1:16" ht="18" customHeight="1" x14ac:dyDescent="0.35">
      <c r="A16" s="43" t="s">
        <v>29</v>
      </c>
      <c r="B16" s="42">
        <f t="shared" si="0"/>
        <v>707924</v>
      </c>
      <c r="C16" s="42">
        <f>C17+C18</f>
        <v>349244</v>
      </c>
      <c r="D16" s="42">
        <f>D17+D18</f>
        <v>358680</v>
      </c>
      <c r="E16" s="42">
        <f>E17+E18</f>
        <v>36115</v>
      </c>
      <c r="F16" s="41">
        <f>F17+F18</f>
        <v>5569</v>
      </c>
    </row>
    <row r="17" spans="1:6" ht="18" customHeight="1" x14ac:dyDescent="0.35">
      <c r="A17" s="40" t="s">
        <v>3</v>
      </c>
      <c r="B17" s="39">
        <f t="shared" si="0"/>
        <v>663262</v>
      </c>
      <c r="C17" s="39">
        <f t="shared" ref="C17:F18" si="2">C20+C50+C57</f>
        <v>325955</v>
      </c>
      <c r="D17" s="39">
        <f t="shared" si="2"/>
        <v>337307</v>
      </c>
      <c r="E17" s="39">
        <f t="shared" si="2"/>
        <v>31201</v>
      </c>
      <c r="F17" s="39">
        <f t="shared" si="2"/>
        <v>5120</v>
      </c>
    </row>
    <row r="18" spans="1:6" ht="18" customHeight="1" x14ac:dyDescent="0.35">
      <c r="A18" s="38" t="s">
        <v>2</v>
      </c>
      <c r="B18" s="37">
        <f t="shared" si="0"/>
        <v>44662</v>
      </c>
      <c r="C18" s="37">
        <f t="shared" si="2"/>
        <v>23289</v>
      </c>
      <c r="D18" s="37">
        <f t="shared" si="2"/>
        <v>21373</v>
      </c>
      <c r="E18" s="37">
        <f t="shared" si="2"/>
        <v>4914</v>
      </c>
      <c r="F18" s="37">
        <f t="shared" si="2"/>
        <v>449</v>
      </c>
    </row>
    <row r="19" spans="1:6" ht="18" customHeight="1" x14ac:dyDescent="0.35">
      <c r="A19" s="82" t="s">
        <v>28</v>
      </c>
      <c r="B19" s="81">
        <f t="shared" si="0"/>
        <v>527048</v>
      </c>
      <c r="C19" s="81">
        <f>C20+C21</f>
        <v>258554</v>
      </c>
      <c r="D19" s="81">
        <f>D20+D21</f>
        <v>268494</v>
      </c>
      <c r="E19" s="81">
        <f>E20+E21</f>
        <v>22540</v>
      </c>
      <c r="F19" s="80">
        <f>F20+F21</f>
        <v>5113</v>
      </c>
    </row>
    <row r="20" spans="1:6" ht="18" customHeight="1" x14ac:dyDescent="0.35">
      <c r="A20" s="40" t="s">
        <v>3</v>
      </c>
      <c r="B20" s="39">
        <f t="shared" si="0"/>
        <v>501073</v>
      </c>
      <c r="C20" s="39">
        <f t="shared" ref="C20:F21" si="3">C25+C31+C37+C43</f>
        <v>245551</v>
      </c>
      <c r="D20" s="39">
        <f t="shared" si="3"/>
        <v>255522</v>
      </c>
      <c r="E20" s="39">
        <f t="shared" si="3"/>
        <v>20418</v>
      </c>
      <c r="F20" s="79">
        <f t="shared" si="3"/>
        <v>4786</v>
      </c>
    </row>
    <row r="21" spans="1:6" ht="18" customHeight="1" x14ac:dyDescent="0.35">
      <c r="A21" s="78" t="s">
        <v>2</v>
      </c>
      <c r="B21" s="77">
        <f t="shared" si="0"/>
        <v>25975</v>
      </c>
      <c r="C21" s="77">
        <f t="shared" si="3"/>
        <v>13003</v>
      </c>
      <c r="D21" s="77">
        <f t="shared" si="3"/>
        <v>12972</v>
      </c>
      <c r="E21" s="77">
        <f t="shared" si="3"/>
        <v>2122</v>
      </c>
      <c r="F21" s="76">
        <f t="shared" si="3"/>
        <v>327</v>
      </c>
    </row>
    <row r="22" spans="1:6" ht="18" customHeight="1" x14ac:dyDescent="0.35">
      <c r="A22" s="71" t="s">
        <v>27</v>
      </c>
      <c r="B22" s="70">
        <f t="shared" si="0"/>
        <v>3722</v>
      </c>
      <c r="C22" s="70">
        <f>C23+C24</f>
        <v>1852</v>
      </c>
      <c r="D22" s="70">
        <f>D23+D24</f>
        <v>1870</v>
      </c>
      <c r="E22" s="70">
        <f>E23+E24</f>
        <v>218</v>
      </c>
      <c r="F22" s="69">
        <f>F23+F24</f>
        <v>153</v>
      </c>
    </row>
    <row r="23" spans="1:6" ht="18" customHeight="1" x14ac:dyDescent="0.35">
      <c r="A23" s="74" t="s">
        <v>23</v>
      </c>
      <c r="B23" s="49">
        <f t="shared" si="0"/>
        <v>870</v>
      </c>
      <c r="C23" s="49">
        <v>429</v>
      </c>
      <c r="D23" s="49">
        <v>441</v>
      </c>
      <c r="E23" s="49">
        <v>72</v>
      </c>
      <c r="F23" s="9">
        <v>32</v>
      </c>
    </row>
    <row r="24" spans="1:6" ht="18" customHeight="1" x14ac:dyDescent="0.35">
      <c r="A24" s="75" t="s">
        <v>22</v>
      </c>
      <c r="B24" s="50">
        <f t="shared" si="0"/>
        <v>2852</v>
      </c>
      <c r="C24" s="50">
        <v>1423</v>
      </c>
      <c r="D24" s="50">
        <v>1429</v>
      </c>
      <c r="E24" s="50">
        <v>146</v>
      </c>
      <c r="F24" s="46">
        <v>121</v>
      </c>
    </row>
    <row r="25" spans="1:6" ht="18" customHeight="1" x14ac:dyDescent="0.35">
      <c r="A25" s="34" t="s">
        <v>3</v>
      </c>
      <c r="B25" s="11">
        <f t="shared" si="0"/>
        <v>3371</v>
      </c>
      <c r="C25" s="11">
        <v>1677</v>
      </c>
      <c r="D25" s="11">
        <v>1694</v>
      </c>
      <c r="E25" s="11">
        <v>192</v>
      </c>
      <c r="F25" s="9">
        <v>145</v>
      </c>
    </row>
    <row r="26" spans="1:6" ht="18" customHeight="1" x14ac:dyDescent="0.35">
      <c r="A26" s="58" t="s">
        <v>2</v>
      </c>
      <c r="B26" s="57">
        <f t="shared" si="0"/>
        <v>351</v>
      </c>
      <c r="C26" s="57">
        <v>175</v>
      </c>
      <c r="D26" s="57">
        <v>176</v>
      </c>
      <c r="E26" s="57">
        <v>26</v>
      </c>
      <c r="F26" s="56">
        <v>8</v>
      </c>
    </row>
    <row r="27" spans="1:6" ht="18" customHeight="1" x14ac:dyDescent="0.35">
      <c r="A27" s="71" t="s">
        <v>26</v>
      </c>
      <c r="B27" s="70">
        <f t="shared" si="0"/>
        <v>106853</v>
      </c>
      <c r="C27" s="70">
        <f>C28+C29+C30</f>
        <v>52869</v>
      </c>
      <c r="D27" s="70">
        <f>D28+D29+D30</f>
        <v>53984</v>
      </c>
      <c r="E27" s="70">
        <f>E28+E29+E30</f>
        <v>4887</v>
      </c>
      <c r="F27" s="69">
        <f>F28+F29+F30</f>
        <v>2059</v>
      </c>
    </row>
    <row r="28" spans="1:6" ht="18" customHeight="1" x14ac:dyDescent="0.35">
      <c r="A28" s="74" t="s">
        <v>25</v>
      </c>
      <c r="B28" s="49">
        <f t="shared" si="0"/>
        <v>94214</v>
      </c>
      <c r="C28" s="49">
        <v>46651</v>
      </c>
      <c r="D28" s="49">
        <v>47563</v>
      </c>
      <c r="E28" s="49">
        <v>4012</v>
      </c>
      <c r="F28" s="9">
        <v>1434</v>
      </c>
    </row>
    <row r="29" spans="1:6" ht="18" customHeight="1" x14ac:dyDescent="0.35">
      <c r="A29" s="75" t="s">
        <v>22</v>
      </c>
      <c r="B29" s="50">
        <f t="shared" si="0"/>
        <v>7939</v>
      </c>
      <c r="C29" s="50">
        <v>3907</v>
      </c>
      <c r="D29" s="50">
        <v>4032</v>
      </c>
      <c r="E29" s="50">
        <v>359</v>
      </c>
      <c r="F29" s="46">
        <v>128</v>
      </c>
    </row>
    <row r="30" spans="1:6" ht="18" customHeight="1" x14ac:dyDescent="0.35">
      <c r="A30" s="74" t="s">
        <v>21</v>
      </c>
      <c r="B30" s="49">
        <f t="shared" si="0"/>
        <v>4700</v>
      </c>
      <c r="C30" s="49">
        <v>2311</v>
      </c>
      <c r="D30" s="49">
        <v>2389</v>
      </c>
      <c r="E30" s="49">
        <v>516</v>
      </c>
      <c r="F30" s="9">
        <v>497</v>
      </c>
    </row>
    <row r="31" spans="1:6" ht="18" customHeight="1" x14ac:dyDescent="0.35">
      <c r="A31" s="73" t="s">
        <v>3</v>
      </c>
      <c r="B31" s="68">
        <f t="shared" si="0"/>
        <v>103023</v>
      </c>
      <c r="C31" s="68">
        <v>51000</v>
      </c>
      <c r="D31" s="68">
        <v>52023</v>
      </c>
      <c r="E31" s="68">
        <v>4594</v>
      </c>
      <c r="F31" s="72">
        <v>1934</v>
      </c>
    </row>
    <row r="32" spans="1:6" ht="18" customHeight="1" x14ac:dyDescent="0.35">
      <c r="A32" s="30" t="s">
        <v>2</v>
      </c>
      <c r="B32" s="44">
        <f t="shared" si="0"/>
        <v>3830</v>
      </c>
      <c r="C32" s="44">
        <v>1869</v>
      </c>
      <c r="D32" s="44">
        <v>1961</v>
      </c>
      <c r="E32" s="44">
        <v>293</v>
      </c>
      <c r="F32" s="27">
        <v>125</v>
      </c>
    </row>
    <row r="33" spans="1:6" ht="18" customHeight="1" x14ac:dyDescent="0.35">
      <c r="A33" s="71" t="s">
        <v>24</v>
      </c>
      <c r="B33" s="70">
        <f t="shared" si="0"/>
        <v>282172</v>
      </c>
      <c r="C33" s="70">
        <f>C34+C35+C36</f>
        <v>137941</v>
      </c>
      <c r="D33" s="70">
        <f>D34+D35+D36</f>
        <v>144231</v>
      </c>
      <c r="E33" s="70">
        <f>E34+E35+E36</f>
        <v>10448</v>
      </c>
      <c r="F33" s="69">
        <f>F34+F35+F36</f>
        <v>2083</v>
      </c>
    </row>
    <row r="34" spans="1:6" ht="18" customHeight="1" x14ac:dyDescent="0.35">
      <c r="A34" s="74" t="s">
        <v>23</v>
      </c>
      <c r="B34" s="49">
        <f t="shared" si="0"/>
        <v>271388</v>
      </c>
      <c r="C34" s="49">
        <v>132696</v>
      </c>
      <c r="D34" s="49">
        <v>138692</v>
      </c>
      <c r="E34" s="49">
        <v>9805</v>
      </c>
      <c r="F34" s="9">
        <v>1768</v>
      </c>
    </row>
    <row r="35" spans="1:6" ht="18" customHeight="1" x14ac:dyDescent="0.35">
      <c r="A35" s="75" t="s">
        <v>22</v>
      </c>
      <c r="B35" s="50">
        <f t="shared" si="0"/>
        <v>8586</v>
      </c>
      <c r="C35" s="50">
        <v>4199</v>
      </c>
      <c r="D35" s="50">
        <v>4387</v>
      </c>
      <c r="E35" s="50">
        <v>394</v>
      </c>
      <c r="F35" s="46">
        <v>99</v>
      </c>
    </row>
    <row r="36" spans="1:6" ht="18" customHeight="1" x14ac:dyDescent="0.35">
      <c r="A36" s="74" t="s">
        <v>21</v>
      </c>
      <c r="B36" s="49">
        <f t="shared" si="0"/>
        <v>2198</v>
      </c>
      <c r="C36" s="49">
        <v>1046</v>
      </c>
      <c r="D36" s="49">
        <v>1152</v>
      </c>
      <c r="E36" s="49">
        <v>249</v>
      </c>
      <c r="F36" s="9">
        <v>216</v>
      </c>
    </row>
    <row r="37" spans="1:6" ht="18" customHeight="1" x14ac:dyDescent="0.35">
      <c r="A37" s="73" t="s">
        <v>3</v>
      </c>
      <c r="B37" s="68">
        <f t="shared" si="0"/>
        <v>268017</v>
      </c>
      <c r="C37" s="68">
        <v>130866</v>
      </c>
      <c r="D37" s="68">
        <v>137151</v>
      </c>
      <c r="E37" s="68">
        <v>9678</v>
      </c>
      <c r="F37" s="72">
        <v>1977</v>
      </c>
    </row>
    <row r="38" spans="1:6" ht="18" customHeight="1" x14ac:dyDescent="0.35">
      <c r="A38" s="30" t="s">
        <v>2</v>
      </c>
      <c r="B38" s="44">
        <f t="shared" si="0"/>
        <v>14155</v>
      </c>
      <c r="C38" s="44">
        <v>7075</v>
      </c>
      <c r="D38" s="44">
        <v>7080</v>
      </c>
      <c r="E38" s="44">
        <v>770</v>
      </c>
      <c r="F38" s="27">
        <v>106</v>
      </c>
    </row>
    <row r="39" spans="1:6" ht="18" customHeight="1" x14ac:dyDescent="0.35">
      <c r="A39" s="71" t="s">
        <v>20</v>
      </c>
      <c r="B39" s="70">
        <f t="shared" si="0"/>
        <v>134301</v>
      </c>
      <c r="C39" s="70">
        <f>C40+C41+C42</f>
        <v>65892</v>
      </c>
      <c r="D39" s="70">
        <f>D40+D41+D42</f>
        <v>68409</v>
      </c>
      <c r="E39" s="70">
        <f>E40+E41+E42</f>
        <v>6987</v>
      </c>
      <c r="F39" s="69">
        <f>F40+F41+F42</f>
        <v>818</v>
      </c>
    </row>
    <row r="40" spans="1:6" ht="18" customHeight="1" x14ac:dyDescent="0.35">
      <c r="A40" s="63" t="s">
        <v>19</v>
      </c>
      <c r="B40" s="11">
        <f t="shared" si="0"/>
        <v>47556</v>
      </c>
      <c r="C40" s="49">
        <v>23569</v>
      </c>
      <c r="D40" s="49">
        <v>23987</v>
      </c>
      <c r="E40" s="11">
        <v>2995</v>
      </c>
      <c r="F40" s="9">
        <v>262</v>
      </c>
    </row>
    <row r="41" spans="1:6" ht="18" customHeight="1" x14ac:dyDescent="0.35">
      <c r="A41" s="64" t="s">
        <v>18</v>
      </c>
      <c r="B41" s="50">
        <f t="shared" si="0"/>
        <v>50481</v>
      </c>
      <c r="C41" s="50">
        <v>24298</v>
      </c>
      <c r="D41" s="50">
        <v>26183</v>
      </c>
      <c r="E41" s="50">
        <v>2120</v>
      </c>
      <c r="F41" s="46">
        <v>465</v>
      </c>
    </row>
    <row r="42" spans="1:6" ht="18" customHeight="1" x14ac:dyDescent="0.35">
      <c r="A42" s="63" t="s">
        <v>17</v>
      </c>
      <c r="B42" s="49">
        <f t="shared" si="0"/>
        <v>36264</v>
      </c>
      <c r="C42" s="49">
        <v>18025</v>
      </c>
      <c r="D42" s="49">
        <v>18239</v>
      </c>
      <c r="E42" s="49">
        <v>1872</v>
      </c>
      <c r="F42" s="9">
        <v>91</v>
      </c>
    </row>
    <row r="43" spans="1:6" ht="18" customHeight="1" x14ac:dyDescent="0.35">
      <c r="A43" s="64" t="s">
        <v>3</v>
      </c>
      <c r="B43" s="68">
        <f t="shared" si="0"/>
        <v>126662</v>
      </c>
      <c r="C43" s="47">
        <v>62008</v>
      </c>
      <c r="D43" s="47">
        <v>64654</v>
      </c>
      <c r="E43" s="47">
        <v>5954</v>
      </c>
      <c r="F43" s="46">
        <v>730</v>
      </c>
    </row>
    <row r="44" spans="1:6" ht="18" customHeight="1" x14ac:dyDescent="0.35">
      <c r="A44" s="30" t="s">
        <v>2</v>
      </c>
      <c r="B44" s="44">
        <f t="shared" si="0"/>
        <v>7639</v>
      </c>
      <c r="C44" s="44">
        <v>3884</v>
      </c>
      <c r="D44" s="44">
        <v>3755</v>
      </c>
      <c r="E44" s="44">
        <v>1033</v>
      </c>
      <c r="F44" s="27">
        <v>88</v>
      </c>
    </row>
    <row r="45" spans="1:6" ht="18" customHeight="1" x14ac:dyDescent="0.35">
      <c r="A45" s="67" t="s">
        <v>16</v>
      </c>
      <c r="B45" s="66">
        <f t="shared" ref="B45:B72" si="4">C45+D45</f>
        <v>111026</v>
      </c>
      <c r="C45" s="66">
        <f>C46+C47+C48+C49</f>
        <v>55384</v>
      </c>
      <c r="D45" s="66">
        <f>D46+D47+D48+D49</f>
        <v>55642</v>
      </c>
      <c r="E45" s="66">
        <f>E46+E47+E48+E49</f>
        <v>7498</v>
      </c>
      <c r="F45" s="65">
        <f>F46+F47+F48+F49</f>
        <v>369</v>
      </c>
    </row>
    <row r="46" spans="1:6" ht="18" customHeight="1" x14ac:dyDescent="0.35">
      <c r="A46" s="63" t="s">
        <v>9</v>
      </c>
      <c r="B46" s="59">
        <f t="shared" si="4"/>
        <v>69872</v>
      </c>
      <c r="C46" s="49">
        <v>35692</v>
      </c>
      <c r="D46" s="49">
        <v>34180</v>
      </c>
      <c r="E46" s="49">
        <v>3401</v>
      </c>
      <c r="F46" s="9">
        <v>268</v>
      </c>
    </row>
    <row r="47" spans="1:6" ht="18" customHeight="1" x14ac:dyDescent="0.35">
      <c r="A47" s="64" t="s">
        <v>8</v>
      </c>
      <c r="B47" s="47">
        <f t="shared" si="4"/>
        <v>35723</v>
      </c>
      <c r="C47" s="50">
        <v>17432</v>
      </c>
      <c r="D47" s="50">
        <v>18291</v>
      </c>
      <c r="E47" s="50">
        <v>3229</v>
      </c>
      <c r="F47" s="46">
        <v>88</v>
      </c>
    </row>
    <row r="48" spans="1:6" ht="18" customHeight="1" x14ac:dyDescent="0.35">
      <c r="A48" s="63" t="s">
        <v>15</v>
      </c>
      <c r="B48" s="11">
        <f t="shared" si="4"/>
        <v>5431</v>
      </c>
      <c r="C48" s="11">
        <v>2260</v>
      </c>
      <c r="D48" s="11">
        <v>3171</v>
      </c>
      <c r="E48" s="11">
        <v>868</v>
      </c>
      <c r="F48" s="9">
        <v>13</v>
      </c>
    </row>
    <row r="49" spans="1:6" ht="18" customHeight="1" x14ac:dyDescent="0.35">
      <c r="A49" s="48" t="s">
        <v>7</v>
      </c>
      <c r="B49" s="62">
        <f t="shared" si="4"/>
        <v>0</v>
      </c>
      <c r="C49" s="61">
        <v>0</v>
      </c>
      <c r="D49" s="61">
        <v>0</v>
      </c>
      <c r="E49" s="61">
        <v>0</v>
      </c>
      <c r="F49" s="60">
        <v>0</v>
      </c>
    </row>
    <row r="50" spans="1:6" ht="18" customHeight="1" x14ac:dyDescent="0.35">
      <c r="A50" s="34" t="s">
        <v>3</v>
      </c>
      <c r="B50" s="59">
        <f t="shared" si="4"/>
        <v>103268</v>
      </c>
      <c r="C50" s="59">
        <v>51388</v>
      </c>
      <c r="D50" s="59">
        <v>51880</v>
      </c>
      <c r="E50" s="59">
        <v>6204</v>
      </c>
      <c r="F50" s="9">
        <v>287</v>
      </c>
    </row>
    <row r="51" spans="1:6" ht="18" customHeight="1" x14ac:dyDescent="0.35">
      <c r="A51" s="58" t="s">
        <v>2</v>
      </c>
      <c r="B51" s="57">
        <f t="shared" si="4"/>
        <v>7758</v>
      </c>
      <c r="C51" s="57">
        <v>3996</v>
      </c>
      <c r="D51" s="57">
        <v>3762</v>
      </c>
      <c r="E51" s="57">
        <v>1294</v>
      </c>
      <c r="F51" s="56">
        <v>82</v>
      </c>
    </row>
    <row r="52" spans="1:6" ht="18" customHeight="1" x14ac:dyDescent="0.35">
      <c r="A52" s="55" t="s">
        <v>14</v>
      </c>
      <c r="B52" s="54">
        <f t="shared" si="4"/>
        <v>69850</v>
      </c>
      <c r="C52" s="54">
        <f>C54+C55+C56</f>
        <v>35306</v>
      </c>
      <c r="D52" s="54">
        <f>D54+D55+D56</f>
        <v>34544</v>
      </c>
      <c r="E52" s="54">
        <f>E54+E55+E56</f>
        <v>6077</v>
      </c>
      <c r="F52" s="53">
        <f>F57+F58</f>
        <v>87</v>
      </c>
    </row>
    <row r="53" spans="1:6" ht="18" customHeight="1" x14ac:dyDescent="0.35">
      <c r="A53" s="48" t="s">
        <v>5</v>
      </c>
      <c r="B53" s="47">
        <f t="shared" si="4"/>
        <v>67599</v>
      </c>
      <c r="C53" s="50">
        <f>C54+C55</f>
        <v>34122</v>
      </c>
      <c r="D53" s="47">
        <f>D54+D55</f>
        <v>33477</v>
      </c>
      <c r="E53" s="47">
        <f>E54+E55</f>
        <v>5378</v>
      </c>
      <c r="F53" s="46">
        <f>F54+F55</f>
        <v>80</v>
      </c>
    </row>
    <row r="54" spans="1:6" ht="18" customHeight="1" x14ac:dyDescent="0.35">
      <c r="A54" s="52" t="s">
        <v>13</v>
      </c>
      <c r="B54" s="11">
        <f t="shared" si="4"/>
        <v>2698</v>
      </c>
      <c r="C54" s="49">
        <v>1949</v>
      </c>
      <c r="D54" s="11">
        <v>749</v>
      </c>
      <c r="E54" s="11">
        <v>227</v>
      </c>
      <c r="F54" s="9">
        <v>8</v>
      </c>
    </row>
    <row r="55" spans="1:6" ht="18" customHeight="1" x14ac:dyDescent="0.35">
      <c r="A55" s="51" t="s">
        <v>12</v>
      </c>
      <c r="B55" s="47">
        <f t="shared" si="4"/>
        <v>64901</v>
      </c>
      <c r="C55" s="50">
        <v>32173</v>
      </c>
      <c r="D55" s="47">
        <v>32728</v>
      </c>
      <c r="E55" s="47">
        <v>5151</v>
      </c>
      <c r="F55" s="46">
        <v>72</v>
      </c>
    </row>
    <row r="56" spans="1:6" ht="18" customHeight="1" x14ac:dyDescent="0.35">
      <c r="A56" s="34" t="s">
        <v>4</v>
      </c>
      <c r="B56" s="11">
        <f t="shared" si="4"/>
        <v>2251</v>
      </c>
      <c r="C56" s="49">
        <v>1184</v>
      </c>
      <c r="D56" s="11">
        <v>1067</v>
      </c>
      <c r="E56" s="11">
        <v>699</v>
      </c>
      <c r="F56" s="9">
        <v>33</v>
      </c>
    </row>
    <row r="57" spans="1:6" ht="18" customHeight="1" x14ac:dyDescent="0.35">
      <c r="A57" s="48" t="s">
        <v>3</v>
      </c>
      <c r="B57" s="47">
        <f t="shared" si="4"/>
        <v>58921</v>
      </c>
      <c r="C57" s="47">
        <v>29016</v>
      </c>
      <c r="D57" s="47">
        <v>29905</v>
      </c>
      <c r="E57" s="47">
        <v>4579</v>
      </c>
      <c r="F57" s="46">
        <v>47</v>
      </c>
    </row>
    <row r="58" spans="1:6" ht="18" customHeight="1" x14ac:dyDescent="0.35">
      <c r="A58" s="30" t="s">
        <v>2</v>
      </c>
      <c r="B58" s="45">
        <f t="shared" si="4"/>
        <v>10929</v>
      </c>
      <c r="C58" s="44">
        <v>6290</v>
      </c>
      <c r="D58" s="44">
        <v>4639</v>
      </c>
      <c r="E58" s="44">
        <v>1498</v>
      </c>
      <c r="F58" s="27">
        <v>40</v>
      </c>
    </row>
    <row r="59" spans="1:6" ht="18" customHeight="1" x14ac:dyDescent="0.35">
      <c r="A59" s="43" t="s">
        <v>11</v>
      </c>
      <c r="B59" s="42">
        <f t="shared" si="4"/>
        <v>26769</v>
      </c>
      <c r="C59" s="42">
        <f>C60+C61</f>
        <v>15796</v>
      </c>
      <c r="D59" s="42">
        <f>D60+D61</f>
        <v>10973</v>
      </c>
      <c r="E59" s="42">
        <f>E60+E61</f>
        <v>2388</v>
      </c>
      <c r="F59" s="41">
        <f>F60+F61</f>
        <v>78</v>
      </c>
    </row>
    <row r="60" spans="1:6" ht="18" customHeight="1" x14ac:dyDescent="0.35">
      <c r="A60" s="40" t="s">
        <v>3</v>
      </c>
      <c r="B60" s="39">
        <f t="shared" si="4"/>
        <v>3610</v>
      </c>
      <c r="C60" s="39">
        <f t="shared" ref="C60:F61" si="5">C66+C71</f>
        <v>2236</v>
      </c>
      <c r="D60" s="39">
        <f t="shared" si="5"/>
        <v>1374</v>
      </c>
      <c r="E60" s="39">
        <f t="shared" si="5"/>
        <v>425</v>
      </c>
      <c r="F60" s="39">
        <f t="shared" si="5"/>
        <v>23</v>
      </c>
    </row>
    <row r="61" spans="1:6" ht="18" customHeight="1" x14ac:dyDescent="0.35">
      <c r="A61" s="38" t="s">
        <v>2</v>
      </c>
      <c r="B61" s="37">
        <f t="shared" si="4"/>
        <v>23159</v>
      </c>
      <c r="C61" s="37">
        <f t="shared" si="5"/>
        <v>13560</v>
      </c>
      <c r="D61" s="37">
        <f t="shared" si="5"/>
        <v>9599</v>
      </c>
      <c r="E61" s="37">
        <f t="shared" si="5"/>
        <v>1963</v>
      </c>
      <c r="F61" s="37">
        <f t="shared" si="5"/>
        <v>55</v>
      </c>
    </row>
    <row r="62" spans="1:6" x14ac:dyDescent="0.35">
      <c r="A62" s="26" t="s">
        <v>10</v>
      </c>
      <c r="B62" s="25">
        <f t="shared" si="4"/>
        <v>1002</v>
      </c>
      <c r="C62" s="25">
        <f>C63+C64+C65</f>
        <v>503</v>
      </c>
      <c r="D62" s="25">
        <f>D63+D64+D65</f>
        <v>499</v>
      </c>
      <c r="E62" s="25">
        <f>E63+E64+E65</f>
        <v>33</v>
      </c>
      <c r="F62" s="24">
        <f>F66+F67</f>
        <v>7</v>
      </c>
    </row>
    <row r="63" spans="1:6" x14ac:dyDescent="0.35">
      <c r="A63" s="36" t="s">
        <v>9</v>
      </c>
      <c r="B63" s="21">
        <f t="shared" si="4"/>
        <v>1002</v>
      </c>
      <c r="C63" s="22">
        <v>503</v>
      </c>
      <c r="D63" s="21">
        <v>499</v>
      </c>
      <c r="E63" s="20">
        <v>33</v>
      </c>
      <c r="F63" s="19">
        <v>7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1002</v>
      </c>
      <c r="C66" s="15">
        <v>503</v>
      </c>
      <c r="D66" s="15">
        <v>499</v>
      </c>
      <c r="E66" s="31">
        <v>33</v>
      </c>
      <c r="F66" s="13">
        <v>7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25767</v>
      </c>
      <c r="C68" s="25">
        <f>C69+C70</f>
        <v>15293</v>
      </c>
      <c r="D68" s="25">
        <f>D69+D70</f>
        <v>10474</v>
      </c>
      <c r="E68" s="25">
        <f>E71+E72</f>
        <v>2355</v>
      </c>
      <c r="F68" s="24">
        <f>F71+F72</f>
        <v>71</v>
      </c>
    </row>
    <row r="69" spans="1:15" x14ac:dyDescent="0.35">
      <c r="A69" s="23" t="s">
        <v>5</v>
      </c>
      <c r="B69" s="21">
        <f t="shared" si="4"/>
        <v>23859</v>
      </c>
      <c r="C69" s="22">
        <v>14132</v>
      </c>
      <c r="D69" s="21">
        <v>9727</v>
      </c>
      <c r="E69" s="20">
        <v>1791</v>
      </c>
      <c r="F69" s="19">
        <v>64</v>
      </c>
      <c r="G69" s="18"/>
    </row>
    <row r="70" spans="1:15" x14ac:dyDescent="0.35">
      <c r="A70" s="17" t="s">
        <v>4</v>
      </c>
      <c r="B70" s="15">
        <f t="shared" si="4"/>
        <v>1908</v>
      </c>
      <c r="C70" s="16">
        <v>1161</v>
      </c>
      <c r="D70" s="15">
        <v>747</v>
      </c>
      <c r="E70" s="14">
        <v>564</v>
      </c>
      <c r="F70" s="13">
        <v>33</v>
      </c>
    </row>
    <row r="71" spans="1:15" x14ac:dyDescent="0.35">
      <c r="A71" s="12" t="s">
        <v>3</v>
      </c>
      <c r="B71" s="11">
        <f t="shared" si="4"/>
        <v>2608</v>
      </c>
      <c r="C71" s="11">
        <v>1733</v>
      </c>
      <c r="D71" s="11">
        <v>875</v>
      </c>
      <c r="E71" s="10">
        <v>392</v>
      </c>
      <c r="F71" s="9">
        <v>16</v>
      </c>
    </row>
    <row r="72" spans="1:15" x14ac:dyDescent="0.35">
      <c r="A72" s="8" t="s">
        <v>2</v>
      </c>
      <c r="B72" s="6">
        <f t="shared" si="4"/>
        <v>23159</v>
      </c>
      <c r="C72" s="7">
        <v>13560</v>
      </c>
      <c r="D72" s="6">
        <v>9599</v>
      </c>
      <c r="E72" s="5">
        <v>1963</v>
      </c>
      <c r="F72" s="4">
        <v>55</v>
      </c>
    </row>
    <row r="73" spans="1:15" x14ac:dyDescent="0.35">
      <c r="F73" s="3" t="s">
        <v>1</v>
      </c>
    </row>
    <row r="74" spans="1:15" ht="41.1" customHeight="1" x14ac:dyDescent="0.35">
      <c r="A74" s="145" t="s">
        <v>0</v>
      </c>
      <c r="B74" s="145"/>
      <c r="C74" s="145"/>
      <c r="D74" s="145"/>
      <c r="E74" s="145"/>
      <c r="F74" s="145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CCDF-10BB-40C9-B2F7-476B4F9169D2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2">
        <v>27</v>
      </c>
      <c r="C1" s="92">
        <v>28</v>
      </c>
      <c r="D1" s="92" t="e">
        <v>#VALUE!</v>
      </c>
      <c r="E1" s="92">
        <v>29</v>
      </c>
      <c r="F1" s="92" t="e">
        <v>#VALUE!</v>
      </c>
    </row>
    <row r="3" spans="1:10" ht="13.5" customHeight="1" x14ac:dyDescent="0.35">
      <c r="C3" s="88"/>
      <c r="D3" s="88"/>
      <c r="E3" s="88"/>
      <c r="F3" s="88" t="s">
        <v>41</v>
      </c>
    </row>
    <row r="4" spans="1:10" ht="3" customHeight="1" x14ac:dyDescent="0.35">
      <c r="C4" s="88"/>
      <c r="D4" s="88"/>
      <c r="E4" s="88"/>
      <c r="F4" s="88"/>
    </row>
    <row r="5" spans="1:10" ht="15" customHeight="1" x14ac:dyDescent="0.35">
      <c r="C5" s="88"/>
      <c r="D5" s="88"/>
      <c r="E5" s="88"/>
      <c r="F5" s="88" t="s">
        <v>40</v>
      </c>
    </row>
    <row r="6" spans="1:10" ht="3.75" customHeight="1" x14ac:dyDescent="0.35"/>
    <row r="7" spans="1:10" s="1" customFormat="1" ht="15.75" customHeight="1" x14ac:dyDescent="0.35">
      <c r="A7" s="139" t="s">
        <v>29</v>
      </c>
      <c r="B7" s="139"/>
      <c r="C7" s="139"/>
      <c r="D7" s="139"/>
      <c r="E7" s="139"/>
      <c r="F7" s="139"/>
      <c r="H7" s="2"/>
      <c r="I7" s="2"/>
    </row>
    <row r="8" spans="1:10" s="1" customFormat="1" ht="15.75" customHeight="1" x14ac:dyDescent="0.35">
      <c r="A8" s="139" t="s">
        <v>76</v>
      </c>
      <c r="B8" s="139"/>
      <c r="C8" s="139"/>
      <c r="D8" s="139"/>
      <c r="E8" s="139"/>
      <c r="F8" s="139"/>
      <c r="H8" s="2"/>
      <c r="I8" s="2"/>
    </row>
    <row r="9" spans="1:10" s="1" customFormat="1" ht="3" customHeight="1" x14ac:dyDescent="0.35">
      <c r="A9" s="144"/>
      <c r="B9" s="143"/>
      <c r="C9" s="142"/>
      <c r="D9" s="141"/>
      <c r="E9" s="142"/>
      <c r="F9" s="141"/>
      <c r="H9" s="138"/>
      <c r="I9" s="2"/>
    </row>
    <row r="10" spans="1:10" s="1" customFormat="1" ht="15.75" customHeight="1" x14ac:dyDescent="0.35">
      <c r="A10" s="140" t="s">
        <v>38</v>
      </c>
      <c r="B10" s="140"/>
      <c r="C10" s="139"/>
      <c r="D10" s="139"/>
      <c r="E10" s="139"/>
      <c r="F10" s="139"/>
      <c r="H10" s="138"/>
      <c r="I10" s="2"/>
    </row>
    <row r="11" spans="1:10" ht="18" customHeight="1" x14ac:dyDescent="0.35">
      <c r="A11" s="151" t="s">
        <v>75</v>
      </c>
      <c r="B11" s="137" t="s">
        <v>74</v>
      </c>
      <c r="C11" s="136" t="s">
        <v>73</v>
      </c>
      <c r="D11" s="135"/>
      <c r="E11" s="136" t="s">
        <v>72</v>
      </c>
      <c r="F11" s="135"/>
    </row>
    <row r="12" spans="1:10" ht="21.75" customHeight="1" x14ac:dyDescent="0.35">
      <c r="A12" s="152"/>
      <c r="B12" s="134" t="s">
        <v>71</v>
      </c>
      <c r="C12" s="133" t="s">
        <v>71</v>
      </c>
      <c r="D12" s="131" t="s">
        <v>70</v>
      </c>
      <c r="E12" s="132" t="s">
        <v>71</v>
      </c>
      <c r="F12" s="131" t="s">
        <v>70</v>
      </c>
    </row>
    <row r="13" spans="1:10" x14ac:dyDescent="0.35">
      <c r="A13" s="130" t="s">
        <v>28</v>
      </c>
      <c r="B13" s="129"/>
      <c r="C13" s="128"/>
      <c r="D13" s="128"/>
      <c r="E13" s="127"/>
      <c r="F13" s="126"/>
      <c r="H13" s="89"/>
    </row>
    <row r="14" spans="1:10" x14ac:dyDescent="0.35">
      <c r="A14" s="106" t="s">
        <v>69</v>
      </c>
      <c r="B14" s="105">
        <v>95.903227135968351</v>
      </c>
      <c r="C14" s="105">
        <v>93.841687452592851</v>
      </c>
      <c r="D14" s="104">
        <v>90.548895792070439</v>
      </c>
      <c r="E14" s="103">
        <v>95.678594452295741</v>
      </c>
      <c r="F14" s="102">
        <v>92.175076705359459</v>
      </c>
      <c r="H14" s="89"/>
      <c r="I14" s="89"/>
      <c r="J14" s="89"/>
    </row>
    <row r="15" spans="1:10" x14ac:dyDescent="0.35">
      <c r="A15" s="111" t="s">
        <v>68</v>
      </c>
      <c r="B15" s="110">
        <v>95.007786054629605</v>
      </c>
      <c r="C15" s="110">
        <v>92.916945356474898</v>
      </c>
      <c r="D15" s="109">
        <v>89.822984263753895</v>
      </c>
      <c r="E15" s="108">
        <v>94.735840281281938</v>
      </c>
      <c r="F15" s="107">
        <v>91.436409983971117</v>
      </c>
      <c r="H15" s="89"/>
      <c r="I15" s="89"/>
      <c r="J15" s="89"/>
    </row>
    <row r="16" spans="1:10" x14ac:dyDescent="0.35">
      <c r="A16" s="125" t="s">
        <v>26</v>
      </c>
      <c r="B16" s="124"/>
      <c r="C16" s="124"/>
      <c r="D16" s="124"/>
      <c r="E16" s="124"/>
      <c r="F16" s="123"/>
      <c r="H16" s="89"/>
      <c r="I16" s="89"/>
      <c r="J16" s="89"/>
    </row>
    <row r="17" spans="1:10" x14ac:dyDescent="0.35">
      <c r="A17" s="106" t="s">
        <v>67</v>
      </c>
      <c r="B17" s="105">
        <v>62.529568784044798</v>
      </c>
      <c r="C17" s="105">
        <v>61.099222639531838</v>
      </c>
      <c r="D17" s="104">
        <v>38.580942141638275</v>
      </c>
      <c r="E17" s="103">
        <v>71.354498516972427</v>
      </c>
      <c r="F17" s="102">
        <v>48.361513668823143</v>
      </c>
      <c r="H17" s="89"/>
      <c r="I17" s="89"/>
      <c r="J17" s="89"/>
    </row>
    <row r="18" spans="1:10" x14ac:dyDescent="0.35">
      <c r="A18" s="111" t="s">
        <v>66</v>
      </c>
      <c r="B18" s="110">
        <v>84.780423110654766</v>
      </c>
      <c r="C18" s="110">
        <v>81.17291335842161</v>
      </c>
      <c r="D18" s="109">
        <v>77.998743134706629</v>
      </c>
      <c r="E18" s="108">
        <v>93.079599921209862</v>
      </c>
      <c r="F18" s="107">
        <v>88.525570726115859</v>
      </c>
      <c r="H18" s="89"/>
      <c r="I18" s="89"/>
      <c r="J18" s="89"/>
    </row>
    <row r="19" spans="1:10" x14ac:dyDescent="0.35">
      <c r="A19" s="106" t="s">
        <v>65</v>
      </c>
      <c r="B19" s="105">
        <v>94.770591720985351</v>
      </c>
      <c r="C19" s="105">
        <v>88.918171884039339</v>
      </c>
      <c r="D19" s="104">
        <v>73.121669901048492</v>
      </c>
      <c r="E19" s="103">
        <v>93.237325431926621</v>
      </c>
      <c r="F19" s="102">
        <v>77.265666530891224</v>
      </c>
      <c r="H19" s="89"/>
      <c r="I19" s="89"/>
      <c r="J19" s="89"/>
    </row>
    <row r="20" spans="1:10" x14ac:dyDescent="0.35">
      <c r="A20" s="111" t="s">
        <v>64</v>
      </c>
      <c r="B20" s="110">
        <v>80.830953740719593</v>
      </c>
      <c r="C20" s="110">
        <v>77.143558849448851</v>
      </c>
      <c r="D20" s="109">
        <v>63.307350306076884</v>
      </c>
      <c r="E20" s="108">
        <v>85.920280077313009</v>
      </c>
      <c r="F20" s="107">
        <v>71.448553833817613</v>
      </c>
      <c r="H20" s="89"/>
      <c r="I20" s="89"/>
      <c r="J20" s="89"/>
    </row>
    <row r="21" spans="1:10" x14ac:dyDescent="0.35">
      <c r="A21" s="106" t="s">
        <v>63</v>
      </c>
      <c r="B21" s="105">
        <v>80.901627641347801</v>
      </c>
      <c r="C21" s="105">
        <v>77.184732515638771</v>
      </c>
      <c r="D21" s="104">
        <v>63.672054942229941</v>
      </c>
      <c r="E21" s="103">
        <v>85.966230261478429</v>
      </c>
      <c r="F21" s="102">
        <v>71.858408255034533</v>
      </c>
      <c r="H21" s="89"/>
      <c r="I21" s="89"/>
      <c r="J21" s="89"/>
    </row>
    <row r="22" spans="1:10" x14ac:dyDescent="0.35">
      <c r="A22" s="125" t="s">
        <v>24</v>
      </c>
      <c r="B22" s="124"/>
      <c r="C22" s="124"/>
      <c r="D22" s="124"/>
      <c r="E22" s="124"/>
      <c r="F22" s="123"/>
      <c r="H22" s="89"/>
      <c r="I22" s="89"/>
      <c r="J22" s="89"/>
    </row>
    <row r="23" spans="1:10" x14ac:dyDescent="0.35">
      <c r="A23" s="106" t="s">
        <v>50</v>
      </c>
      <c r="B23" s="105">
        <v>0.85516885399701259</v>
      </c>
      <c r="C23" s="105">
        <v>0.80801780474321072</v>
      </c>
      <c r="D23" s="104">
        <v>0.43876962396363073</v>
      </c>
      <c r="E23" s="105">
        <v>0.77697289654217183</v>
      </c>
      <c r="F23" s="102">
        <v>0.39712680772554521</v>
      </c>
      <c r="H23" s="89"/>
      <c r="I23" s="89"/>
      <c r="J23" s="89"/>
    </row>
    <row r="24" spans="1:10" x14ac:dyDescent="0.35">
      <c r="A24" s="111" t="s">
        <v>58</v>
      </c>
      <c r="B24" s="110">
        <v>4.2639899062268949E-2</v>
      </c>
      <c r="C24" s="110">
        <v>0</v>
      </c>
      <c r="D24" s="109">
        <v>0.47104009397397339</v>
      </c>
      <c r="E24" s="110">
        <v>-4.2347116052821043E-2</v>
      </c>
      <c r="F24" s="107">
        <v>0.45218297092196602</v>
      </c>
      <c r="H24" s="89"/>
      <c r="I24" s="89"/>
      <c r="J24" s="89"/>
    </row>
    <row r="25" spans="1:10" x14ac:dyDescent="0.35">
      <c r="A25" s="106" t="s">
        <v>57</v>
      </c>
      <c r="B25" s="105">
        <v>95.720932090014173</v>
      </c>
      <c r="C25" s="105">
        <v>95.980487018222874</v>
      </c>
      <c r="D25" s="104">
        <v>96.9551648474215</v>
      </c>
      <c r="E25" s="105">
        <v>99.536704864598917</v>
      </c>
      <c r="F25" s="102">
        <v>98.150026946338286</v>
      </c>
      <c r="H25" s="89"/>
      <c r="I25" s="89"/>
      <c r="J25" s="89"/>
    </row>
    <row r="26" spans="1:10" x14ac:dyDescent="0.35">
      <c r="A26" s="111" t="s">
        <v>56</v>
      </c>
      <c r="B26" s="110">
        <v>104.30828147438966</v>
      </c>
      <c r="C26" s="110">
        <v>103.15661763112854</v>
      </c>
      <c r="D26" s="109">
        <v>101.9341223948949</v>
      </c>
      <c r="E26" s="110">
        <v>104.75728155339806</v>
      </c>
      <c r="F26" s="107">
        <v>103.78941864704068</v>
      </c>
      <c r="H26" s="89"/>
      <c r="I26" s="89"/>
      <c r="J26" s="89"/>
    </row>
    <row r="27" spans="1:10" x14ac:dyDescent="0.35">
      <c r="A27" s="106" t="s">
        <v>62</v>
      </c>
      <c r="B27" s="105">
        <v>102.08058159447171</v>
      </c>
      <c r="C27" s="105">
        <v>100.20241333513256</v>
      </c>
      <c r="D27" s="104">
        <v>101.72046958709984</v>
      </c>
      <c r="E27" s="105">
        <v>99.97229670934631</v>
      </c>
      <c r="F27" s="102">
        <v>101.19578388660526</v>
      </c>
      <c r="H27" s="89"/>
      <c r="I27" s="89"/>
      <c r="J27" s="89"/>
    </row>
    <row r="28" spans="1:10" x14ac:dyDescent="0.35">
      <c r="A28" s="111" t="s">
        <v>61</v>
      </c>
      <c r="B28" s="110">
        <v>99.789948127868186</v>
      </c>
      <c r="C28" s="110">
        <v>98.36897465216866</v>
      </c>
      <c r="D28" s="109">
        <v>96.314695429046509</v>
      </c>
      <c r="E28" s="110">
        <v>98.143169185416696</v>
      </c>
      <c r="F28" s="107">
        <v>95.816612827648669</v>
      </c>
      <c r="H28" s="89"/>
      <c r="I28" s="89"/>
      <c r="J28" s="89"/>
    </row>
    <row r="29" spans="1:10" x14ac:dyDescent="0.35">
      <c r="A29" s="125" t="s">
        <v>20</v>
      </c>
      <c r="B29" s="124"/>
      <c r="C29" s="124"/>
      <c r="D29" s="124"/>
      <c r="E29" s="124"/>
      <c r="F29" s="123"/>
      <c r="H29" s="89"/>
      <c r="I29" s="89"/>
      <c r="J29" s="89"/>
    </row>
    <row r="30" spans="1:10" x14ac:dyDescent="0.35">
      <c r="A30" s="106" t="s">
        <v>51</v>
      </c>
      <c r="B30" s="105">
        <v>97.386056102066249</v>
      </c>
      <c r="C30" s="105">
        <v>95.064458258584011</v>
      </c>
      <c r="D30" s="104">
        <v>93.105822485612947</v>
      </c>
      <c r="E30" s="103">
        <v>95.999075902045618</v>
      </c>
      <c r="F30" s="102">
        <v>95.031628893548429</v>
      </c>
      <c r="H30" s="89"/>
      <c r="I30" s="89"/>
      <c r="J30" s="89"/>
    </row>
    <row r="31" spans="1:10" x14ac:dyDescent="0.35">
      <c r="A31" s="111" t="s">
        <v>50</v>
      </c>
      <c r="B31" s="110">
        <v>2.0076517208971856</v>
      </c>
      <c r="C31" s="110">
        <v>1.7773508760173029</v>
      </c>
      <c r="D31" s="109">
        <v>2.54778221710249</v>
      </c>
      <c r="E31" s="108">
        <v>1.6572640159432939</v>
      </c>
      <c r="F31" s="107">
        <v>2.2918429271874818</v>
      </c>
      <c r="H31" s="89"/>
      <c r="I31" s="89"/>
      <c r="J31" s="89"/>
    </row>
    <row r="32" spans="1:10" x14ac:dyDescent="0.35">
      <c r="A32" s="106" t="s">
        <v>58</v>
      </c>
      <c r="B32" s="105">
        <v>5.5331239718858782E-2</v>
      </c>
      <c r="C32" s="105">
        <v>5.7110651888037101E-2</v>
      </c>
      <c r="D32" s="104">
        <v>2.2384648038226818</v>
      </c>
      <c r="E32" s="103">
        <v>5.9696078949955655E-2</v>
      </c>
      <c r="F32" s="102">
        <v>2.1403697727291782</v>
      </c>
      <c r="H32" s="89"/>
      <c r="I32" s="89"/>
      <c r="J32" s="89"/>
    </row>
    <row r="33" spans="1:10" x14ac:dyDescent="0.35">
      <c r="A33" s="111" t="s">
        <v>57</v>
      </c>
      <c r="B33" s="110">
        <v>94.686084563205682</v>
      </c>
      <c r="C33" s="110">
        <v>96.059702791497131</v>
      </c>
      <c r="D33" s="109">
        <v>92.865387576774694</v>
      </c>
      <c r="E33" s="108">
        <v>94.949383560133214</v>
      </c>
      <c r="F33" s="107">
        <v>92.527364626036132</v>
      </c>
      <c r="H33" s="89"/>
      <c r="I33" s="89"/>
      <c r="J33" s="89"/>
    </row>
    <row r="34" spans="1:10" x14ac:dyDescent="0.35">
      <c r="A34" s="106" t="s">
        <v>56</v>
      </c>
      <c r="B34" s="105">
        <v>96.676476445467216</v>
      </c>
      <c r="C34" s="105">
        <v>97.437708282756958</v>
      </c>
      <c r="D34" s="104">
        <v>91.876923795994145</v>
      </c>
      <c r="E34" s="103">
        <v>94.702919113926825</v>
      </c>
      <c r="F34" s="102">
        <v>89.804444151920364</v>
      </c>
      <c r="H34" s="89"/>
      <c r="I34" s="89"/>
      <c r="J34" s="89"/>
    </row>
    <row r="35" spans="1:10" x14ac:dyDescent="0.35">
      <c r="A35" s="111" t="s">
        <v>60</v>
      </c>
      <c r="B35" s="110">
        <v>98.575346862553431</v>
      </c>
      <c r="C35" s="110">
        <v>97.581904976422123</v>
      </c>
      <c r="D35" s="109">
        <v>94.670888333927934</v>
      </c>
      <c r="E35" s="108">
        <v>96.566318668200466</v>
      </c>
      <c r="F35" s="107">
        <v>94.056932269296951</v>
      </c>
      <c r="H35" s="89"/>
      <c r="I35" s="89"/>
      <c r="J35" s="89"/>
    </row>
    <row r="36" spans="1:10" x14ac:dyDescent="0.35">
      <c r="A36" s="106" t="s">
        <v>59</v>
      </c>
      <c r="B36" s="105">
        <v>88.339436558073032</v>
      </c>
      <c r="C36" s="105">
        <v>93.178036605657226</v>
      </c>
      <c r="D36" s="104">
        <v>83.855666307503625</v>
      </c>
      <c r="E36" s="103">
        <v>92.208017711023814</v>
      </c>
      <c r="F36" s="122">
        <v>83.305904438452842</v>
      </c>
      <c r="H36" s="89"/>
      <c r="I36" s="89"/>
      <c r="J36" s="89"/>
    </row>
    <row r="37" spans="1:10" x14ac:dyDescent="0.35">
      <c r="A37" s="121" t="s">
        <v>10</v>
      </c>
      <c r="B37" s="120"/>
      <c r="C37" s="120"/>
      <c r="D37" s="120"/>
      <c r="E37" s="120"/>
      <c r="F37" s="119"/>
      <c r="H37" s="89"/>
      <c r="I37" s="89"/>
      <c r="J37" s="89"/>
    </row>
    <row r="38" spans="1:10" x14ac:dyDescent="0.35">
      <c r="A38" s="106" t="s">
        <v>51</v>
      </c>
      <c r="B38" s="105">
        <v>94.601776099573456</v>
      </c>
      <c r="C38" s="105">
        <v>94.85935318486645</v>
      </c>
      <c r="D38" s="104">
        <v>90.303209142071765</v>
      </c>
      <c r="E38" s="103">
        <v>95.966024915062292</v>
      </c>
      <c r="F38" s="102">
        <v>91.299275514381847</v>
      </c>
      <c r="H38" s="89"/>
      <c r="I38" s="89"/>
      <c r="J38" s="89"/>
    </row>
    <row r="39" spans="1:10" x14ac:dyDescent="0.35">
      <c r="A39" s="111" t="s">
        <v>50</v>
      </c>
      <c r="B39" s="110">
        <v>10.133474938572729</v>
      </c>
      <c r="C39" s="110">
        <v>7.6567650820528517</v>
      </c>
      <c r="D39" s="109">
        <v>9.2482325469735116</v>
      </c>
      <c r="E39" s="108">
        <v>7.7176111086145642</v>
      </c>
      <c r="F39" s="107">
        <v>9.2356339587371004</v>
      </c>
      <c r="H39" s="89"/>
      <c r="I39" s="89"/>
      <c r="J39" s="89"/>
    </row>
    <row r="40" spans="1:10" x14ac:dyDescent="0.35">
      <c r="A40" s="106" t="s">
        <v>58</v>
      </c>
      <c r="B40" s="105">
        <v>10.615197882121318</v>
      </c>
      <c r="C40" s="105">
        <v>10.517439559818353</v>
      </c>
      <c r="D40" s="104">
        <v>12.053771184956375</v>
      </c>
      <c r="E40" s="103">
        <v>10.419742868697512</v>
      </c>
      <c r="F40" s="102">
        <v>11.972895108572123</v>
      </c>
      <c r="H40" s="89"/>
      <c r="I40" s="89"/>
      <c r="J40" s="89"/>
    </row>
    <row r="41" spans="1:10" x14ac:dyDescent="0.35">
      <c r="A41" s="111" t="s">
        <v>57</v>
      </c>
      <c r="B41" s="110">
        <v>68.749574105621804</v>
      </c>
      <c r="C41" s="110">
        <v>77.825090833352618</v>
      </c>
      <c r="D41" s="109">
        <v>70.240267556253883</v>
      </c>
      <c r="E41" s="108">
        <v>78.06686870180107</v>
      </c>
      <c r="F41" s="107">
        <v>73.212677807008802</v>
      </c>
      <c r="H41" s="89"/>
      <c r="I41" s="89"/>
      <c r="J41" s="89"/>
    </row>
    <row r="42" spans="1:10" x14ac:dyDescent="0.35">
      <c r="A42" s="106" t="s">
        <v>56</v>
      </c>
      <c r="B42" s="105">
        <v>68.909227511781978</v>
      </c>
      <c r="C42" s="105">
        <v>76.181954103708406</v>
      </c>
      <c r="D42" s="104">
        <v>63.600436314437992</v>
      </c>
      <c r="E42" s="103">
        <v>71.349756800576472</v>
      </c>
      <c r="F42" s="102">
        <v>60.075548708762398</v>
      </c>
      <c r="H42" s="89"/>
      <c r="I42" s="89"/>
      <c r="J42" s="89"/>
    </row>
    <row r="43" spans="1:10" x14ac:dyDescent="0.35">
      <c r="A43" s="111" t="s">
        <v>55</v>
      </c>
      <c r="B43" s="110">
        <v>82.702127342831204</v>
      </c>
      <c r="C43" s="110">
        <v>82.288416355995636</v>
      </c>
      <c r="D43" s="109">
        <v>72.862042704061992</v>
      </c>
      <c r="E43" s="108">
        <v>82.180499442355853</v>
      </c>
      <c r="F43" s="107">
        <v>73.197457862217306</v>
      </c>
      <c r="H43" s="89"/>
      <c r="I43" s="89"/>
      <c r="J43" s="89"/>
    </row>
    <row r="44" spans="1:10" x14ac:dyDescent="0.35">
      <c r="A44" s="106" t="s">
        <v>54</v>
      </c>
      <c r="B44" s="105">
        <v>83.981659297634465</v>
      </c>
      <c r="C44" s="105">
        <v>83.03106216138093</v>
      </c>
      <c r="D44" s="104">
        <v>78.400458538136903</v>
      </c>
      <c r="E44" s="103">
        <v>82.922055380342869</v>
      </c>
      <c r="F44" s="102">
        <v>78.773452915283144</v>
      </c>
      <c r="H44" s="89"/>
      <c r="I44" s="118"/>
      <c r="J44" s="118"/>
    </row>
    <row r="45" spans="1:10" x14ac:dyDescent="0.35">
      <c r="A45" s="111" t="s">
        <v>53</v>
      </c>
      <c r="B45" s="110">
        <v>71.073943399877919</v>
      </c>
      <c r="C45" s="110">
        <v>70.651408581190751</v>
      </c>
      <c r="D45" s="109">
        <v>60.675903080458362</v>
      </c>
      <c r="E45" s="108">
        <v>68.420352903811917</v>
      </c>
      <c r="F45" s="107">
        <v>59.146954254527095</v>
      </c>
      <c r="H45" s="89"/>
      <c r="I45" s="89"/>
      <c r="J45" s="89"/>
    </row>
    <row r="46" spans="1:10" x14ac:dyDescent="0.35">
      <c r="A46" s="117" t="s">
        <v>52</v>
      </c>
      <c r="B46" s="116"/>
      <c r="C46" s="116"/>
      <c r="D46" s="116"/>
      <c r="E46" s="116"/>
      <c r="F46" s="115"/>
      <c r="H46" s="89"/>
      <c r="I46" s="89"/>
      <c r="J46" s="89"/>
    </row>
    <row r="47" spans="1:10" x14ac:dyDescent="0.35">
      <c r="A47" s="106" t="s">
        <v>51</v>
      </c>
      <c r="B47" s="105">
        <v>37.797223338795952</v>
      </c>
      <c r="C47" s="105">
        <v>54.729573462847327</v>
      </c>
      <c r="D47" s="104">
        <v>68.075095204300098</v>
      </c>
      <c r="E47" s="103">
        <v>55.056647536352557</v>
      </c>
      <c r="F47" s="102">
        <v>69.076045758390194</v>
      </c>
      <c r="H47" s="89"/>
      <c r="I47" s="89"/>
      <c r="J47" s="89"/>
    </row>
    <row r="48" spans="1:10" x14ac:dyDescent="0.35">
      <c r="A48" s="111" t="s">
        <v>50</v>
      </c>
      <c r="B48" s="110">
        <v>7.8505042515325307</v>
      </c>
      <c r="C48" s="110">
        <v>7.704255980118047</v>
      </c>
      <c r="D48" s="109">
        <v>8.5439504278360232</v>
      </c>
      <c r="E48" s="108">
        <v>7.5666440754546427</v>
      </c>
      <c r="F48" s="107">
        <v>8.3337551407782318</v>
      </c>
      <c r="H48" s="89"/>
      <c r="I48" s="89"/>
      <c r="J48" s="89"/>
    </row>
    <row r="49" spans="1:10" x14ac:dyDescent="0.35">
      <c r="A49" s="106" t="s">
        <v>49</v>
      </c>
      <c r="B49" s="105">
        <v>25.948383323843089</v>
      </c>
      <c r="C49" s="105">
        <v>26.867451342410952</v>
      </c>
      <c r="D49" s="104">
        <v>30.621789759912865</v>
      </c>
      <c r="E49" s="103">
        <v>28.147357754782448</v>
      </c>
      <c r="F49" s="102">
        <v>30.806235981494044</v>
      </c>
      <c r="H49" s="89"/>
      <c r="I49" s="89"/>
      <c r="J49" s="89"/>
    </row>
    <row r="50" spans="1:10" x14ac:dyDescent="0.35">
      <c r="A50" s="111" t="s">
        <v>48</v>
      </c>
      <c r="B50" s="110">
        <v>30.307402933881633</v>
      </c>
      <c r="C50" s="110">
        <v>31.124647770595061</v>
      </c>
      <c r="D50" s="109">
        <v>34.484611655840489</v>
      </c>
      <c r="E50" s="108">
        <v>32.509099922426891</v>
      </c>
      <c r="F50" s="107">
        <v>34.683476115270743</v>
      </c>
      <c r="H50" s="89"/>
      <c r="I50" s="89"/>
      <c r="J50" s="89"/>
    </row>
    <row r="51" spans="1:10" x14ac:dyDescent="0.35">
      <c r="A51" s="106" t="s">
        <v>47</v>
      </c>
      <c r="B51" s="105">
        <v>39.315581290280946</v>
      </c>
      <c r="C51" s="105">
        <v>42.110061329355212</v>
      </c>
      <c r="D51" s="104">
        <v>42.545891307303194</v>
      </c>
      <c r="E51" s="103">
        <v>44.01241169747405</v>
      </c>
      <c r="F51" s="102">
        <v>42.84947472301657</v>
      </c>
      <c r="H51" s="89"/>
      <c r="I51" s="89"/>
      <c r="J51" s="89"/>
    </row>
    <row r="52" spans="1:10" x14ac:dyDescent="0.35">
      <c r="A52" s="114" t="s">
        <v>46</v>
      </c>
      <c r="B52" s="113"/>
      <c r="C52" s="113"/>
      <c r="D52" s="113"/>
      <c r="E52" s="113"/>
      <c r="F52" s="112"/>
      <c r="H52" s="89"/>
      <c r="I52" s="89"/>
      <c r="J52" s="89"/>
    </row>
    <row r="53" spans="1:10" x14ac:dyDescent="0.35">
      <c r="A53" s="111" t="s">
        <v>45</v>
      </c>
      <c r="B53" s="110">
        <v>14.001570204809035</v>
      </c>
      <c r="C53" s="110">
        <v>13.851253017740525</v>
      </c>
      <c r="D53" s="109">
        <v>13.596245811879109</v>
      </c>
      <c r="E53" s="108">
        <v>13.752132657887801</v>
      </c>
      <c r="F53" s="107">
        <v>13.486295481889201</v>
      </c>
      <c r="H53" s="89"/>
      <c r="I53" s="89"/>
      <c r="J53" s="89"/>
    </row>
    <row r="54" spans="1:10" x14ac:dyDescent="0.35">
      <c r="A54" s="106" t="s">
        <v>44</v>
      </c>
      <c r="B54" s="105">
        <v>9.69</v>
      </c>
      <c r="C54" s="105">
        <v>9.7656462133445316</v>
      </c>
      <c r="D54" s="104">
        <v>9.8556313156987496</v>
      </c>
      <c r="E54" s="103">
        <v>9.8412924266890638</v>
      </c>
      <c r="F54" s="102">
        <v>9.971262631397499</v>
      </c>
      <c r="H54" s="89"/>
      <c r="I54" s="89"/>
      <c r="J54" s="89"/>
    </row>
    <row r="55" spans="1:10" x14ac:dyDescent="0.35">
      <c r="A55" s="101" t="s">
        <v>43</v>
      </c>
      <c r="B55" s="100">
        <v>4.9671786852381361</v>
      </c>
      <c r="C55" s="100">
        <v>4.7700484108608716</v>
      </c>
      <c r="D55" s="99">
        <v>4.4889089590471833</v>
      </c>
      <c r="E55" s="98">
        <v>4.5751396030160763</v>
      </c>
      <c r="F55" s="97">
        <v>4.3201167946423542</v>
      </c>
      <c r="H55" s="89"/>
      <c r="I55" s="89"/>
      <c r="J55" s="89"/>
    </row>
    <row r="56" spans="1:10" ht="14.25" customHeight="1" x14ac:dyDescent="0.35">
      <c r="A56" s="96"/>
      <c r="B56" s="95"/>
      <c r="D56" s="94"/>
      <c r="F56" s="94" t="s">
        <v>1</v>
      </c>
      <c r="H56" s="89"/>
      <c r="I56" s="89"/>
      <c r="J56" s="89"/>
    </row>
    <row r="57" spans="1:10" s="92" customFormat="1" ht="83.25" customHeight="1" x14ac:dyDescent="0.35">
      <c r="A57" s="153" t="s">
        <v>42</v>
      </c>
      <c r="B57" s="153"/>
      <c r="C57" s="153"/>
      <c r="D57" s="153"/>
      <c r="E57" s="93"/>
      <c r="H57" s="89"/>
      <c r="I57" s="89"/>
      <c r="J57" s="89"/>
    </row>
    <row r="58" spans="1:10" x14ac:dyDescent="0.35">
      <c r="B58" s="89"/>
      <c r="C58" s="89"/>
      <c r="D58" s="89"/>
      <c r="E58" s="91"/>
      <c r="H58" s="89"/>
      <c r="I58" s="89"/>
      <c r="J58" s="89"/>
    </row>
    <row r="59" spans="1:10" x14ac:dyDescent="0.35">
      <c r="H59" s="89"/>
      <c r="I59" s="89"/>
      <c r="J59" s="89"/>
    </row>
    <row r="60" spans="1:10" x14ac:dyDescent="0.35">
      <c r="E60" s="90"/>
      <c r="H60" s="89"/>
      <c r="I60" s="89"/>
      <c r="J60" s="89"/>
    </row>
    <row r="61" spans="1:10" x14ac:dyDescent="0.35">
      <c r="E61" s="90"/>
      <c r="H61" s="89"/>
    </row>
    <row r="62" spans="1:10" x14ac:dyDescent="0.35">
      <c r="A62" s="90"/>
      <c r="B62" s="90"/>
      <c r="C62" s="90"/>
      <c r="D62" s="90"/>
      <c r="E62" s="90"/>
      <c r="H62" s="89"/>
    </row>
    <row r="63" spans="1:10" x14ac:dyDescent="0.35">
      <c r="A63" s="90"/>
      <c r="B63" s="90"/>
      <c r="C63" s="90"/>
      <c r="D63" s="90"/>
      <c r="E63" s="90"/>
      <c r="H63" s="89"/>
    </row>
    <row r="64" spans="1:10" x14ac:dyDescent="0.35">
      <c r="A64" s="90"/>
      <c r="B64" s="90"/>
      <c r="C64" s="90"/>
      <c r="D64" s="90"/>
      <c r="E64" s="90"/>
      <c r="H64" s="89"/>
    </row>
    <row r="65" spans="8:8" x14ac:dyDescent="0.35">
      <c r="H65" s="89"/>
    </row>
    <row r="66" spans="8:8" x14ac:dyDescent="0.35">
      <c r="H66" s="89"/>
    </row>
    <row r="67" spans="8:8" x14ac:dyDescent="0.35">
      <c r="H67" s="89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Tab</vt:lpstr>
      <vt:lpstr>TAB</vt:lpstr>
      <vt:lpstr>'Est Tab'!Área_de_impresión</vt:lpstr>
      <vt:lpstr>TAB!Área_de_impresión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2022-09-07T18:02:57Z</cp:lastPrinted>
  <dcterms:created xsi:type="dcterms:W3CDTF">2022-09-06T19:00:55Z</dcterms:created>
  <dcterms:modified xsi:type="dcterms:W3CDTF">2022-09-07T19:09:09Z</dcterms:modified>
</cp:coreProperties>
</file>