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A0C1632A-8CF5-467E-A950-19CBCDDDE327}" xr6:coauthVersionLast="47" xr6:coauthVersionMax="47" xr10:uidLastSave="{00000000-0000-0000-0000-000000000000}"/>
  <bookViews>
    <workbookView xWindow="-120" yWindow="-120" windowWidth="29040" windowHeight="15840" xr2:uid="{DD8ADE72-4502-422A-AA1E-2CE05EB8C25A}"/>
  </bookViews>
  <sheets>
    <sheet name="Est Gto" sheetId="1" r:id="rId1"/>
    <sheet name="GT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Gto'!$A$1:$F$74</definedName>
    <definedName name="_xlnm.Print_Area" localSheetId="1">GTO!$A$1:$F$57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6" i="1" s="1"/>
  <c r="C19" i="1"/>
  <c r="B19" i="1" s="1"/>
  <c r="D19" i="1"/>
  <c r="E19" i="1"/>
  <c r="C20" i="1"/>
  <c r="B20" i="1" s="1"/>
  <c r="D20" i="1"/>
  <c r="D17" i="1" s="1"/>
  <c r="E20" i="1"/>
  <c r="E17" i="1" s="1"/>
  <c r="F20" i="1"/>
  <c r="F19" i="1" s="1"/>
  <c r="C21" i="1"/>
  <c r="C18" i="1" s="1"/>
  <c r="D21" i="1"/>
  <c r="D18" i="1" s="1"/>
  <c r="D15" i="1" s="1"/>
  <c r="E21" i="1"/>
  <c r="E18" i="1" s="1"/>
  <c r="E15" i="1" s="1"/>
  <c r="F21" i="1"/>
  <c r="F18" i="1" s="1"/>
  <c r="F15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C52" i="1"/>
  <c r="B52" i="1" s="1"/>
  <c r="D52" i="1"/>
  <c r="E52" i="1"/>
  <c r="F52" i="1"/>
  <c r="C53" i="1"/>
  <c r="D53" i="1"/>
  <c r="B53" i="1" s="1"/>
  <c r="E53" i="1"/>
  <c r="F53" i="1"/>
  <c r="B54" i="1"/>
  <c r="B55" i="1"/>
  <c r="B56" i="1"/>
  <c r="B57" i="1"/>
  <c r="B58" i="1"/>
  <c r="F59" i="1"/>
  <c r="C60" i="1"/>
  <c r="C59" i="1" s="1"/>
  <c r="B59" i="1" s="1"/>
  <c r="D60" i="1"/>
  <c r="D59" i="1" s="1"/>
  <c r="E60" i="1"/>
  <c r="E59" i="1" s="1"/>
  <c r="F60" i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C15" i="1" l="1"/>
  <c r="B15" i="1" s="1"/>
  <c r="B18" i="1"/>
  <c r="E16" i="1"/>
  <c r="E13" i="1" s="1"/>
  <c r="E14" i="1"/>
  <c r="D16" i="1"/>
  <c r="D13" i="1" s="1"/>
  <c r="D14" i="1"/>
  <c r="C13" i="1"/>
  <c r="B13" i="1" s="1"/>
  <c r="B16" i="1"/>
  <c r="B17" i="1"/>
  <c r="B60" i="1"/>
  <c r="C14" i="1"/>
  <c r="B14" i="1" s="1"/>
  <c r="B21" i="1"/>
  <c r="F17" i="1"/>
  <c r="F14" i="1" l="1"/>
  <c r="F16" i="1"/>
  <c r="F13" i="1" s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<sst xmlns="http://schemas.openxmlformats.org/spreadsheetml/2006/main" count="133" uniqueCount="78">
  <si>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</si>
  <si>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</si>
  <si>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</si>
  <si>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</si>
  <si>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</si>
  <si>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</si>
  <si>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</si>
  <si>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</si>
  <si>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</si>
  <si>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</si>
  <si>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</si>
  <si>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</si>
  <si>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</si>
  <si>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</si>
  <si>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</si>
  <si>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</si>
  <si>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</si>
  <si>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</si>
  <si>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</si>
  <si>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</si>
  <si>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</si>
  <si>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</si>
  <si>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</si>
  <si>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</si>
  <si>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</si>
  <si>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</si>
  <si>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</si>
  <si>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</si>
  <si>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</si>
  <si>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</si>
  <si>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</si>
  <si>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</si>
  <si>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</si>
  <si>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</si>
  <si>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</si>
  <si>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</si>
  <si>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</si>
  <si>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</si>
  <si>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Guanajuato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</si>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</sst>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40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3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applyNumberFormat="1" applyFont="1" applyBorder="1"/>
    <xf numFmtId="0" fontId="7" fillId="0" borderId="16" xfId="1" applyFont="1" applyBorder="1" applyAlignment="1">
      <alignment horizontal="left" vertical="center" indent="2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7" fillId="7" borderId="5" xfId="1" applyNumberFormat="1" applyFont="1" applyFill="1" applyBorder="1" applyAlignment="1">
      <alignment horizontal="center" vertical="center"/>
    </xf>
    <xf numFmtId="3" fontId="7" fillId="7" borderId="7" xfId="1" applyNumberFormat="1" applyFont="1" applyFill="1" applyBorder="1" applyAlignment="1">
      <alignment horizontal="center" vertical="center"/>
    </xf>
    <xf numFmtId="3" fontId="7" fillId="7" borderId="7" xfId="1" quotePrefix="1" applyNumberFormat="1" applyFont="1" applyFill="1" applyBorder="1" applyAlignment="1">
      <alignment horizontal="center" vertical="center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167" fontId="7" fillId="11" borderId="5" xfId="0" applyNumberFormat="1" applyFont="1" applyFill="1" applyBorder="1" applyAlignment="1">
      <alignment horizontal="center" vertical="center"/>
    </xf>
    <xf numFmtId="0" fontId="7" fillId="8" borderId="31" xfId="0" applyFont="1" applyFill="1" applyBorder="1" applyAlignment="1">
      <alignment vertical="center"/>
    </xf>
    <xf numFmtId="0" fontId="7" fillId="8" borderId="32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8" borderId="33" xfId="0" applyFont="1" applyFill="1" applyBorder="1" applyAlignment="1">
      <alignment vertical="center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Continuous" vertical="center"/>
    </xf>
    <xf numFmtId="0" fontId="5" fillId="0" borderId="39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8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0ECA4E26-3DEB-437D-92BD-CC8E9712C5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8DEF0364-918F-4CA4-A510-C57C3EF27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4CA55695-5EEB-42F2-AA0A-111F0CF3D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7293-1DB8-4EF0-8DDC-9C1FD2EF14F6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7" t="s">
        <v>41</v>
      </c>
    </row>
    <row r="3" spans="1:16" x14ac:dyDescent="0.35">
      <c r="F3" s="87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5" customFormat="1" ht="15.75" customHeight="1" x14ac:dyDescent="0.35">
      <c r="A7" s="145" t="s">
        <v>39</v>
      </c>
      <c r="B7" s="145"/>
      <c r="C7" s="145"/>
      <c r="D7" s="145"/>
      <c r="E7" s="145"/>
      <c r="F7" s="145"/>
      <c r="H7"/>
      <c r="I7"/>
      <c r="J7"/>
      <c r="K7"/>
      <c r="L7"/>
      <c r="M7"/>
      <c r="N7"/>
      <c r="O7"/>
      <c r="P7" s="2"/>
    </row>
    <row r="8" spans="1:16" s="85" customFormat="1" ht="15.75" customHeight="1" x14ac:dyDescent="0.35">
      <c r="A8" s="145" t="s">
        <v>38</v>
      </c>
      <c r="B8" s="145"/>
      <c r="C8" s="145"/>
      <c r="D8" s="145"/>
      <c r="E8" s="145"/>
      <c r="F8" s="145"/>
      <c r="H8"/>
      <c r="I8"/>
      <c r="J8"/>
      <c r="K8"/>
      <c r="L8"/>
      <c r="M8"/>
      <c r="N8"/>
      <c r="O8"/>
      <c r="P8" s="2"/>
    </row>
    <row r="9" spans="1:16" s="85" customFormat="1" ht="15.75" customHeight="1" x14ac:dyDescent="0.35">
      <c r="A9" s="86" t="s">
        <v>77</v>
      </c>
      <c r="B9" s="86"/>
      <c r="C9" s="86"/>
      <c r="D9" s="86"/>
      <c r="E9" s="86"/>
      <c r="F9" s="86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6" t="s">
        <v>37</v>
      </c>
      <c r="B11" s="148" t="s">
        <v>36</v>
      </c>
      <c r="C11" s="148"/>
      <c r="D11" s="148"/>
      <c r="E11" s="149" t="s">
        <v>35</v>
      </c>
      <c r="F11" s="149" t="s">
        <v>34</v>
      </c>
    </row>
    <row r="12" spans="1:16" ht="15" customHeight="1" x14ac:dyDescent="0.35">
      <c r="A12" s="147"/>
      <c r="B12" s="84" t="s">
        <v>33</v>
      </c>
      <c r="C12" s="84" t="s">
        <v>32</v>
      </c>
      <c r="D12" s="84" t="s">
        <v>31</v>
      </c>
      <c r="E12" s="147"/>
      <c r="F12" s="147"/>
    </row>
    <row r="13" spans="1:16" ht="18" customHeight="1" x14ac:dyDescent="0.35">
      <c r="A13" s="83" t="s">
        <v>30</v>
      </c>
      <c r="B13" s="82">
        <f t="shared" ref="B13:B44" si="0">C13+D13</f>
        <v>1683282</v>
      </c>
      <c r="C13" s="82">
        <f>C16+C62+C68</f>
        <v>850170</v>
      </c>
      <c r="D13" s="82">
        <f>D16+D62+D68</f>
        <v>833112</v>
      </c>
      <c r="E13" s="82">
        <f>E16+E62+E68</f>
        <v>91922</v>
      </c>
      <c r="F13" s="82">
        <f>F16+F62+F68</f>
        <v>12128</v>
      </c>
    </row>
    <row r="14" spans="1:16" ht="18" customHeight="1" x14ac:dyDescent="0.35">
      <c r="A14" s="41" t="s">
        <v>3</v>
      </c>
      <c r="B14" s="40">
        <f t="shared" si="0"/>
        <v>1440033</v>
      </c>
      <c r="C14" s="40">
        <f t="shared" ref="C14:F15" si="1">C17+C66+C71</f>
        <v>718876</v>
      </c>
      <c r="D14" s="40">
        <f t="shared" si="1"/>
        <v>721157</v>
      </c>
      <c r="E14" s="40">
        <f t="shared" si="1"/>
        <v>67792</v>
      </c>
      <c r="F14" s="40">
        <f t="shared" si="1"/>
        <v>10095</v>
      </c>
    </row>
    <row r="15" spans="1:16" ht="18" customHeight="1" x14ac:dyDescent="0.35">
      <c r="A15" s="39" t="s">
        <v>2</v>
      </c>
      <c r="B15" s="38">
        <f t="shared" si="0"/>
        <v>243249</v>
      </c>
      <c r="C15" s="38">
        <f t="shared" si="1"/>
        <v>131294</v>
      </c>
      <c r="D15" s="38">
        <f t="shared" si="1"/>
        <v>111955</v>
      </c>
      <c r="E15" s="38">
        <f t="shared" si="1"/>
        <v>24130</v>
      </c>
      <c r="F15" s="38">
        <f t="shared" si="1"/>
        <v>2033</v>
      </c>
    </row>
    <row r="16" spans="1:16" ht="18" customHeight="1" x14ac:dyDescent="0.35">
      <c r="A16" s="44" t="s">
        <v>29</v>
      </c>
      <c r="B16" s="43">
        <f t="shared" si="0"/>
        <v>1623364</v>
      </c>
      <c r="C16" s="43">
        <f>C17+C18</f>
        <v>817537</v>
      </c>
      <c r="D16" s="43">
        <f>D17+D18</f>
        <v>805827</v>
      </c>
      <c r="E16" s="43">
        <f>E17+E18</f>
        <v>89335</v>
      </c>
      <c r="F16" s="42">
        <f>F17+F18</f>
        <v>12020</v>
      </c>
    </row>
    <row r="17" spans="1:6" ht="18" customHeight="1" x14ac:dyDescent="0.35">
      <c r="A17" s="41" t="s">
        <v>3</v>
      </c>
      <c r="B17" s="40">
        <f t="shared" si="0"/>
        <v>1393381</v>
      </c>
      <c r="C17" s="40">
        <f t="shared" ref="C17:F18" si="2">C20+C50+C57</f>
        <v>694539</v>
      </c>
      <c r="D17" s="40">
        <f t="shared" si="2"/>
        <v>698842</v>
      </c>
      <c r="E17" s="40">
        <f t="shared" si="2"/>
        <v>66795</v>
      </c>
      <c r="F17" s="40">
        <f t="shared" si="2"/>
        <v>10058</v>
      </c>
    </row>
    <row r="18" spans="1:6" ht="18" customHeight="1" x14ac:dyDescent="0.35">
      <c r="A18" s="39" t="s">
        <v>2</v>
      </c>
      <c r="B18" s="38">
        <f t="shared" si="0"/>
        <v>229983</v>
      </c>
      <c r="C18" s="38">
        <f t="shared" si="2"/>
        <v>122998</v>
      </c>
      <c r="D18" s="38">
        <f t="shared" si="2"/>
        <v>106985</v>
      </c>
      <c r="E18" s="38">
        <f t="shared" si="2"/>
        <v>22540</v>
      </c>
      <c r="F18" s="38">
        <f t="shared" si="2"/>
        <v>1962</v>
      </c>
    </row>
    <row r="19" spans="1:6" ht="18" customHeight="1" x14ac:dyDescent="0.35">
      <c r="A19" s="81" t="s">
        <v>28</v>
      </c>
      <c r="B19" s="80">
        <f t="shared" si="0"/>
        <v>1236250</v>
      </c>
      <c r="C19" s="80">
        <f>C20+C21</f>
        <v>610951</v>
      </c>
      <c r="D19" s="80">
        <f>D20+D21</f>
        <v>625299</v>
      </c>
      <c r="E19" s="80">
        <f>E20+E21</f>
        <v>54806</v>
      </c>
      <c r="F19" s="79">
        <f>F20+F21</f>
        <v>10517</v>
      </c>
    </row>
    <row r="20" spans="1:6" ht="18" customHeight="1" x14ac:dyDescent="0.35">
      <c r="A20" s="41" t="s">
        <v>3</v>
      </c>
      <c r="B20" s="40">
        <f t="shared" si="0"/>
        <v>1114311</v>
      </c>
      <c r="C20" s="40">
        <f t="shared" ref="C20:F21" si="3">C25+C31+C37+C43</f>
        <v>550018</v>
      </c>
      <c r="D20" s="40">
        <f t="shared" si="3"/>
        <v>564293</v>
      </c>
      <c r="E20" s="40">
        <f t="shared" si="3"/>
        <v>46347</v>
      </c>
      <c r="F20" s="78">
        <f t="shared" si="3"/>
        <v>9176</v>
      </c>
    </row>
    <row r="21" spans="1:6" ht="18" customHeight="1" x14ac:dyDescent="0.35">
      <c r="A21" s="77" t="s">
        <v>2</v>
      </c>
      <c r="B21" s="76">
        <f t="shared" si="0"/>
        <v>121939</v>
      </c>
      <c r="C21" s="76">
        <f t="shared" si="3"/>
        <v>60933</v>
      </c>
      <c r="D21" s="76">
        <f t="shared" si="3"/>
        <v>61006</v>
      </c>
      <c r="E21" s="76">
        <f t="shared" si="3"/>
        <v>8459</v>
      </c>
      <c r="F21" s="75">
        <f t="shared" si="3"/>
        <v>1341</v>
      </c>
    </row>
    <row r="22" spans="1:6" ht="18" customHeight="1" x14ac:dyDescent="0.35">
      <c r="A22" s="67" t="s">
        <v>27</v>
      </c>
      <c r="B22" s="66">
        <f t="shared" si="0"/>
        <v>7825</v>
      </c>
      <c r="C22" s="66">
        <f>C23+C24</f>
        <v>3732</v>
      </c>
      <c r="D22" s="66">
        <f>D23+D24</f>
        <v>4093</v>
      </c>
      <c r="E22" s="66">
        <f>E23+E24</f>
        <v>214</v>
      </c>
      <c r="F22" s="65">
        <f>F23+F24</f>
        <v>93</v>
      </c>
    </row>
    <row r="23" spans="1:6" ht="18" customHeight="1" x14ac:dyDescent="0.35">
      <c r="A23" s="70" t="s">
        <v>23</v>
      </c>
      <c r="B23" s="35">
        <f t="shared" si="0"/>
        <v>7825</v>
      </c>
      <c r="C23" s="35">
        <v>3732</v>
      </c>
      <c r="D23" s="35">
        <v>4093</v>
      </c>
      <c r="E23" s="35">
        <v>214</v>
      </c>
      <c r="F23" s="9">
        <v>93</v>
      </c>
    </row>
    <row r="24" spans="1:6" ht="18" customHeight="1" x14ac:dyDescent="0.35">
      <c r="A24" s="71" t="s">
        <v>22</v>
      </c>
      <c r="B24" s="74">
        <f t="shared" si="0"/>
        <v>0</v>
      </c>
      <c r="C24" s="73">
        <v>0</v>
      </c>
      <c r="D24" s="73">
        <v>0</v>
      </c>
      <c r="E24" s="73">
        <v>0</v>
      </c>
      <c r="F24" s="72">
        <v>0</v>
      </c>
    </row>
    <row r="25" spans="1:6" ht="18" customHeight="1" x14ac:dyDescent="0.35">
      <c r="A25" s="36" t="s">
        <v>3</v>
      </c>
      <c r="B25" s="11">
        <f t="shared" si="0"/>
        <v>1384</v>
      </c>
      <c r="C25" s="11">
        <v>678</v>
      </c>
      <c r="D25" s="11">
        <v>706</v>
      </c>
      <c r="E25" s="11">
        <v>80</v>
      </c>
      <c r="F25" s="9">
        <v>35</v>
      </c>
    </row>
    <row r="26" spans="1:6" ht="18" customHeight="1" x14ac:dyDescent="0.35">
      <c r="A26" s="56" t="s">
        <v>2</v>
      </c>
      <c r="B26" s="55">
        <f t="shared" si="0"/>
        <v>6441</v>
      </c>
      <c r="C26" s="55">
        <v>3054</v>
      </c>
      <c r="D26" s="55">
        <v>3387</v>
      </c>
      <c r="E26" s="55">
        <v>134</v>
      </c>
      <c r="F26" s="54">
        <v>58</v>
      </c>
    </row>
    <row r="27" spans="1:6" ht="18" customHeight="1" x14ac:dyDescent="0.35">
      <c r="A27" s="67" t="s">
        <v>26</v>
      </c>
      <c r="B27" s="66">
        <f t="shared" si="0"/>
        <v>225035</v>
      </c>
      <c r="C27" s="66">
        <f>C28+C29+C30</f>
        <v>111916</v>
      </c>
      <c r="D27" s="66">
        <f>D28+D29+D30</f>
        <v>113119</v>
      </c>
      <c r="E27" s="66">
        <f>E28+E29+E30</f>
        <v>10596</v>
      </c>
      <c r="F27" s="65">
        <f>F28+F29+F30</f>
        <v>4183</v>
      </c>
    </row>
    <row r="28" spans="1:6" ht="18" customHeight="1" x14ac:dyDescent="0.35">
      <c r="A28" s="70" t="s">
        <v>25</v>
      </c>
      <c r="B28" s="35">
        <f t="shared" si="0"/>
        <v>219917</v>
      </c>
      <c r="C28" s="35">
        <v>109369</v>
      </c>
      <c r="D28" s="35">
        <v>110548</v>
      </c>
      <c r="E28" s="35">
        <v>10019</v>
      </c>
      <c r="F28" s="9">
        <v>3638</v>
      </c>
    </row>
    <row r="29" spans="1:6" ht="18" customHeight="1" x14ac:dyDescent="0.35">
      <c r="A29" s="71" t="s">
        <v>22</v>
      </c>
      <c r="B29" s="48">
        <f t="shared" si="0"/>
        <v>320</v>
      </c>
      <c r="C29" s="48">
        <v>152</v>
      </c>
      <c r="D29" s="48">
        <v>168</v>
      </c>
      <c r="E29" s="48">
        <v>15</v>
      </c>
      <c r="F29" s="45">
        <v>3</v>
      </c>
    </row>
    <row r="30" spans="1:6" ht="18" customHeight="1" x14ac:dyDescent="0.35">
      <c r="A30" s="70" t="s">
        <v>21</v>
      </c>
      <c r="B30" s="35">
        <f t="shared" si="0"/>
        <v>4798</v>
      </c>
      <c r="C30" s="35">
        <v>2395</v>
      </c>
      <c r="D30" s="35">
        <v>2403</v>
      </c>
      <c r="E30" s="35">
        <v>562</v>
      </c>
      <c r="F30" s="9">
        <v>542</v>
      </c>
    </row>
    <row r="31" spans="1:6" ht="18" customHeight="1" x14ac:dyDescent="0.35">
      <c r="A31" s="69" t="s">
        <v>3</v>
      </c>
      <c r="B31" s="64">
        <f t="shared" si="0"/>
        <v>202083</v>
      </c>
      <c r="C31" s="64">
        <v>100386</v>
      </c>
      <c r="D31" s="64">
        <v>101697</v>
      </c>
      <c r="E31" s="64">
        <v>8795</v>
      </c>
      <c r="F31" s="68">
        <v>3589</v>
      </c>
    </row>
    <row r="32" spans="1:6" ht="18" customHeight="1" x14ac:dyDescent="0.35">
      <c r="A32" s="31" t="s">
        <v>2</v>
      </c>
      <c r="B32" s="30">
        <f t="shared" si="0"/>
        <v>22952</v>
      </c>
      <c r="C32" s="30">
        <v>11530</v>
      </c>
      <c r="D32" s="30">
        <v>11422</v>
      </c>
      <c r="E32" s="30">
        <v>1801</v>
      </c>
      <c r="F32" s="27">
        <v>594</v>
      </c>
    </row>
    <row r="33" spans="1:6" ht="18" customHeight="1" x14ac:dyDescent="0.35">
      <c r="A33" s="67" t="s">
        <v>24</v>
      </c>
      <c r="B33" s="66">
        <f t="shared" si="0"/>
        <v>690596</v>
      </c>
      <c r="C33" s="66">
        <f>C34+C35+C36</f>
        <v>339351</v>
      </c>
      <c r="D33" s="66">
        <f>D34+D35+D36</f>
        <v>351245</v>
      </c>
      <c r="E33" s="66">
        <f>E34+E35+E36</f>
        <v>25789</v>
      </c>
      <c r="F33" s="65">
        <f>F34+F35+F36</f>
        <v>4372</v>
      </c>
    </row>
    <row r="34" spans="1:6" ht="18" customHeight="1" x14ac:dyDescent="0.35">
      <c r="A34" s="70" t="s">
        <v>23</v>
      </c>
      <c r="B34" s="35">
        <f t="shared" si="0"/>
        <v>686275</v>
      </c>
      <c r="C34" s="35">
        <v>337216</v>
      </c>
      <c r="D34" s="35">
        <v>349059</v>
      </c>
      <c r="E34" s="35">
        <v>25390</v>
      </c>
      <c r="F34" s="9">
        <v>4051</v>
      </c>
    </row>
    <row r="35" spans="1:6" ht="18" customHeight="1" x14ac:dyDescent="0.35">
      <c r="A35" s="71" t="s">
        <v>22</v>
      </c>
      <c r="B35" s="48">
        <f t="shared" si="0"/>
        <v>1133</v>
      </c>
      <c r="C35" s="48">
        <v>570</v>
      </c>
      <c r="D35" s="48">
        <v>563</v>
      </c>
      <c r="E35" s="48">
        <v>49</v>
      </c>
      <c r="F35" s="45">
        <v>5</v>
      </c>
    </row>
    <row r="36" spans="1:6" ht="18" customHeight="1" x14ac:dyDescent="0.35">
      <c r="A36" s="70" t="s">
        <v>21</v>
      </c>
      <c r="B36" s="35">
        <f t="shared" si="0"/>
        <v>3188</v>
      </c>
      <c r="C36" s="35">
        <v>1565</v>
      </c>
      <c r="D36" s="35">
        <v>1623</v>
      </c>
      <c r="E36" s="35">
        <v>350</v>
      </c>
      <c r="F36" s="9">
        <v>316</v>
      </c>
    </row>
    <row r="37" spans="1:6" ht="18" customHeight="1" x14ac:dyDescent="0.35">
      <c r="A37" s="69" t="s">
        <v>3</v>
      </c>
      <c r="B37" s="64">
        <f t="shared" si="0"/>
        <v>629000</v>
      </c>
      <c r="C37" s="64">
        <v>308719</v>
      </c>
      <c r="D37" s="64">
        <v>320281</v>
      </c>
      <c r="E37" s="64">
        <v>22696</v>
      </c>
      <c r="F37" s="68">
        <v>3973</v>
      </c>
    </row>
    <row r="38" spans="1:6" ht="18" customHeight="1" x14ac:dyDescent="0.35">
      <c r="A38" s="31" t="s">
        <v>2</v>
      </c>
      <c r="B38" s="30">
        <f t="shared" si="0"/>
        <v>61596</v>
      </c>
      <c r="C38" s="30">
        <v>30632</v>
      </c>
      <c r="D38" s="30">
        <v>30964</v>
      </c>
      <c r="E38" s="30">
        <v>3093</v>
      </c>
      <c r="F38" s="27">
        <v>399</v>
      </c>
    </row>
    <row r="39" spans="1:6" ht="18" customHeight="1" x14ac:dyDescent="0.35">
      <c r="A39" s="67" t="s">
        <v>20</v>
      </c>
      <c r="B39" s="66">
        <f t="shared" si="0"/>
        <v>312794</v>
      </c>
      <c r="C39" s="66">
        <f>C40+C41+C42</f>
        <v>155952</v>
      </c>
      <c r="D39" s="66">
        <f>D40+D41+D42</f>
        <v>156842</v>
      </c>
      <c r="E39" s="66">
        <f>E40+E41+E42</f>
        <v>18207</v>
      </c>
      <c r="F39" s="65">
        <f>F40+F41+F42</f>
        <v>1869</v>
      </c>
    </row>
    <row r="40" spans="1:6" ht="18" customHeight="1" x14ac:dyDescent="0.35">
      <c r="A40" s="59" t="s">
        <v>19</v>
      </c>
      <c r="B40" s="11">
        <f t="shared" si="0"/>
        <v>139023</v>
      </c>
      <c r="C40" s="35">
        <v>69345</v>
      </c>
      <c r="D40" s="35">
        <v>69678</v>
      </c>
      <c r="E40" s="11">
        <v>10032</v>
      </c>
      <c r="F40" s="9">
        <v>629</v>
      </c>
    </row>
    <row r="41" spans="1:6" ht="18" customHeight="1" x14ac:dyDescent="0.35">
      <c r="A41" s="60" t="s">
        <v>18</v>
      </c>
      <c r="B41" s="48">
        <f t="shared" si="0"/>
        <v>121510</v>
      </c>
      <c r="C41" s="48">
        <v>60433</v>
      </c>
      <c r="D41" s="48">
        <v>61077</v>
      </c>
      <c r="E41" s="48">
        <v>4977</v>
      </c>
      <c r="F41" s="45">
        <v>1124</v>
      </c>
    </row>
    <row r="42" spans="1:6" ht="18" customHeight="1" x14ac:dyDescent="0.35">
      <c r="A42" s="59" t="s">
        <v>17</v>
      </c>
      <c r="B42" s="35">
        <f t="shared" si="0"/>
        <v>52261</v>
      </c>
      <c r="C42" s="35">
        <v>26174</v>
      </c>
      <c r="D42" s="35">
        <v>26087</v>
      </c>
      <c r="E42" s="35">
        <v>3198</v>
      </c>
      <c r="F42" s="9">
        <v>116</v>
      </c>
    </row>
    <row r="43" spans="1:6" ht="18" customHeight="1" x14ac:dyDescent="0.35">
      <c r="A43" s="60" t="s">
        <v>3</v>
      </c>
      <c r="B43" s="64">
        <f t="shared" si="0"/>
        <v>281844</v>
      </c>
      <c r="C43" s="46">
        <v>140235</v>
      </c>
      <c r="D43" s="46">
        <v>141609</v>
      </c>
      <c r="E43" s="46">
        <v>14776</v>
      </c>
      <c r="F43" s="45">
        <v>1579</v>
      </c>
    </row>
    <row r="44" spans="1:6" ht="18" customHeight="1" x14ac:dyDescent="0.35">
      <c r="A44" s="31" t="s">
        <v>2</v>
      </c>
      <c r="B44" s="30">
        <f t="shared" si="0"/>
        <v>30950</v>
      </c>
      <c r="C44" s="30">
        <v>15717</v>
      </c>
      <c r="D44" s="30">
        <v>15233</v>
      </c>
      <c r="E44" s="30">
        <v>3431</v>
      </c>
      <c r="F44" s="27">
        <v>290</v>
      </c>
    </row>
    <row r="45" spans="1:6" ht="18" customHeight="1" x14ac:dyDescent="0.35">
      <c r="A45" s="63" t="s">
        <v>16</v>
      </c>
      <c r="B45" s="62">
        <f t="shared" ref="B45:B72" si="4">C45+D45</f>
        <v>229192</v>
      </c>
      <c r="C45" s="62">
        <f>C46+C47+C48+C49</f>
        <v>122176</v>
      </c>
      <c r="D45" s="62">
        <f>D46+D47+D48+D49</f>
        <v>107016</v>
      </c>
      <c r="E45" s="62">
        <f>E46+E47+E48+E49</f>
        <v>19374</v>
      </c>
      <c r="F45" s="61">
        <f>F46+F47+F48+F49</f>
        <v>1242</v>
      </c>
    </row>
    <row r="46" spans="1:6" ht="18" customHeight="1" x14ac:dyDescent="0.35">
      <c r="A46" s="59" t="s">
        <v>9</v>
      </c>
      <c r="B46" s="57">
        <f t="shared" si="4"/>
        <v>120982</v>
      </c>
      <c r="C46" s="35">
        <v>66555</v>
      </c>
      <c r="D46" s="35">
        <v>54427</v>
      </c>
      <c r="E46" s="35">
        <v>8419</v>
      </c>
      <c r="F46" s="9">
        <v>984</v>
      </c>
    </row>
    <row r="47" spans="1:6" ht="18" customHeight="1" x14ac:dyDescent="0.35">
      <c r="A47" s="60" t="s">
        <v>8</v>
      </c>
      <c r="B47" s="46">
        <f t="shared" si="4"/>
        <v>90743</v>
      </c>
      <c r="C47" s="48">
        <v>47620</v>
      </c>
      <c r="D47" s="48">
        <v>43123</v>
      </c>
      <c r="E47" s="48">
        <v>8520</v>
      </c>
      <c r="F47" s="45">
        <v>219</v>
      </c>
    </row>
    <row r="48" spans="1:6" ht="18" customHeight="1" x14ac:dyDescent="0.35">
      <c r="A48" s="59" t="s">
        <v>15</v>
      </c>
      <c r="B48" s="11">
        <f t="shared" si="4"/>
        <v>16462</v>
      </c>
      <c r="C48" s="11">
        <v>7392</v>
      </c>
      <c r="D48" s="11">
        <v>9070</v>
      </c>
      <c r="E48" s="11">
        <v>2293</v>
      </c>
      <c r="F48" s="9">
        <v>24</v>
      </c>
    </row>
    <row r="49" spans="1:6" ht="18" customHeight="1" x14ac:dyDescent="0.35">
      <c r="A49" s="47" t="s">
        <v>7</v>
      </c>
      <c r="B49" s="46">
        <f t="shared" si="4"/>
        <v>1005</v>
      </c>
      <c r="C49" s="48">
        <v>609</v>
      </c>
      <c r="D49" s="58">
        <v>396</v>
      </c>
      <c r="E49" s="46">
        <v>142</v>
      </c>
      <c r="F49" s="45">
        <v>15</v>
      </c>
    </row>
    <row r="50" spans="1:6" ht="18" customHeight="1" x14ac:dyDescent="0.35">
      <c r="A50" s="36" t="s">
        <v>3</v>
      </c>
      <c r="B50" s="57">
        <f t="shared" si="4"/>
        <v>183443</v>
      </c>
      <c r="C50" s="57">
        <v>97673</v>
      </c>
      <c r="D50" s="57">
        <v>85770</v>
      </c>
      <c r="E50" s="57">
        <v>13247</v>
      </c>
      <c r="F50" s="9">
        <v>818</v>
      </c>
    </row>
    <row r="51" spans="1:6" ht="18" customHeight="1" x14ac:dyDescent="0.35">
      <c r="A51" s="56" t="s">
        <v>2</v>
      </c>
      <c r="B51" s="55">
        <f t="shared" si="4"/>
        <v>45749</v>
      </c>
      <c r="C51" s="55">
        <v>24503</v>
      </c>
      <c r="D51" s="55">
        <v>21246</v>
      </c>
      <c r="E51" s="55">
        <v>6127</v>
      </c>
      <c r="F51" s="54">
        <v>424</v>
      </c>
    </row>
    <row r="52" spans="1:6" ht="18" customHeight="1" x14ac:dyDescent="0.35">
      <c r="A52" s="53" t="s">
        <v>14</v>
      </c>
      <c r="B52" s="52">
        <f t="shared" si="4"/>
        <v>157922</v>
      </c>
      <c r="C52" s="52">
        <f>C54+C55+C56</f>
        <v>84410</v>
      </c>
      <c r="D52" s="52">
        <f>D54+D55+D56</f>
        <v>73512</v>
      </c>
      <c r="E52" s="52">
        <f>E54+E55+E56</f>
        <v>15155</v>
      </c>
      <c r="F52" s="51">
        <f>F57+F58</f>
        <v>261</v>
      </c>
    </row>
    <row r="53" spans="1:6" ht="18" customHeight="1" x14ac:dyDescent="0.35">
      <c r="A53" s="47" t="s">
        <v>5</v>
      </c>
      <c r="B53" s="46">
        <f t="shared" si="4"/>
        <v>147948</v>
      </c>
      <c r="C53" s="48">
        <f>C54+C55</f>
        <v>78856</v>
      </c>
      <c r="D53" s="46">
        <f>D54+D55</f>
        <v>69092</v>
      </c>
      <c r="E53" s="46">
        <f>E54+E55</f>
        <v>12673</v>
      </c>
      <c r="F53" s="45">
        <f>F54+F55</f>
        <v>234</v>
      </c>
    </row>
    <row r="54" spans="1:6" ht="18" customHeight="1" x14ac:dyDescent="0.35">
      <c r="A54" s="50" t="s">
        <v>13</v>
      </c>
      <c r="B54" s="11">
        <f t="shared" si="4"/>
        <v>4786</v>
      </c>
      <c r="C54" s="35">
        <v>3686</v>
      </c>
      <c r="D54" s="11">
        <v>1100</v>
      </c>
      <c r="E54" s="11">
        <v>697</v>
      </c>
      <c r="F54" s="9">
        <v>31</v>
      </c>
    </row>
    <row r="55" spans="1:6" ht="18" customHeight="1" x14ac:dyDescent="0.35">
      <c r="A55" s="49" t="s">
        <v>12</v>
      </c>
      <c r="B55" s="46">
        <f t="shared" si="4"/>
        <v>143162</v>
      </c>
      <c r="C55" s="48">
        <v>75170</v>
      </c>
      <c r="D55" s="46">
        <v>67992</v>
      </c>
      <c r="E55" s="46">
        <v>11976</v>
      </c>
      <c r="F55" s="45">
        <v>203</v>
      </c>
    </row>
    <row r="56" spans="1:6" ht="18" customHeight="1" x14ac:dyDescent="0.35">
      <c r="A56" s="36" t="s">
        <v>4</v>
      </c>
      <c r="B56" s="11">
        <f t="shared" si="4"/>
        <v>9974</v>
      </c>
      <c r="C56" s="35">
        <v>5554</v>
      </c>
      <c r="D56" s="11">
        <v>4420</v>
      </c>
      <c r="E56" s="11">
        <v>2482</v>
      </c>
      <c r="F56" s="9">
        <v>117</v>
      </c>
    </row>
    <row r="57" spans="1:6" ht="18" customHeight="1" x14ac:dyDescent="0.35">
      <c r="A57" s="47" t="s">
        <v>3</v>
      </c>
      <c r="B57" s="46">
        <f t="shared" si="4"/>
        <v>95627</v>
      </c>
      <c r="C57" s="46">
        <v>46848</v>
      </c>
      <c r="D57" s="46">
        <v>48779</v>
      </c>
      <c r="E57" s="46">
        <v>7201</v>
      </c>
      <c r="F57" s="45">
        <v>64</v>
      </c>
    </row>
    <row r="58" spans="1:6" ht="18" customHeight="1" x14ac:dyDescent="0.35">
      <c r="A58" s="31" t="s">
        <v>2</v>
      </c>
      <c r="B58" s="29">
        <f t="shared" si="4"/>
        <v>62295</v>
      </c>
      <c r="C58" s="30">
        <v>37562</v>
      </c>
      <c r="D58" s="30">
        <v>24733</v>
      </c>
      <c r="E58" s="30">
        <v>7954</v>
      </c>
      <c r="F58" s="27">
        <v>197</v>
      </c>
    </row>
    <row r="59" spans="1:6" ht="18" customHeight="1" x14ac:dyDescent="0.35">
      <c r="A59" s="44" t="s">
        <v>11</v>
      </c>
      <c r="B59" s="43">
        <f t="shared" si="4"/>
        <v>59918</v>
      </c>
      <c r="C59" s="43">
        <f>C60+C61</f>
        <v>32633</v>
      </c>
      <c r="D59" s="43">
        <f>D60+D61</f>
        <v>27285</v>
      </c>
      <c r="E59" s="43">
        <f>E60+E61</f>
        <v>2587</v>
      </c>
      <c r="F59" s="42">
        <f>F60+F61</f>
        <v>108</v>
      </c>
    </row>
    <row r="60" spans="1:6" ht="18" customHeight="1" x14ac:dyDescent="0.35">
      <c r="A60" s="41" t="s">
        <v>3</v>
      </c>
      <c r="B60" s="40">
        <f t="shared" si="4"/>
        <v>46652</v>
      </c>
      <c r="C60" s="40">
        <f t="shared" ref="C60:F61" si="5">C66+C71</f>
        <v>24337</v>
      </c>
      <c r="D60" s="40">
        <f t="shared" si="5"/>
        <v>22315</v>
      </c>
      <c r="E60" s="40">
        <f t="shared" si="5"/>
        <v>997</v>
      </c>
      <c r="F60" s="40">
        <f t="shared" si="5"/>
        <v>37</v>
      </c>
    </row>
    <row r="61" spans="1:6" ht="18" customHeight="1" x14ac:dyDescent="0.35">
      <c r="A61" s="39" t="s">
        <v>2</v>
      </c>
      <c r="B61" s="38">
        <f t="shared" si="4"/>
        <v>13266</v>
      </c>
      <c r="C61" s="38">
        <f t="shared" si="5"/>
        <v>8296</v>
      </c>
      <c r="D61" s="38">
        <f t="shared" si="5"/>
        <v>4970</v>
      </c>
      <c r="E61" s="38">
        <f t="shared" si="5"/>
        <v>1590</v>
      </c>
      <c r="F61" s="38">
        <f t="shared" si="5"/>
        <v>71</v>
      </c>
    </row>
    <row r="62" spans="1:6" x14ac:dyDescent="0.35">
      <c r="A62" s="26" t="s">
        <v>10</v>
      </c>
      <c r="B62" s="25">
        <f t="shared" si="4"/>
        <v>7161</v>
      </c>
      <c r="C62" s="25">
        <f>C63+C64+C65</f>
        <v>4015</v>
      </c>
      <c r="D62" s="25">
        <f>D63+D64+D65</f>
        <v>3146</v>
      </c>
      <c r="E62" s="25">
        <f>E63+E64+E65</f>
        <v>145</v>
      </c>
      <c r="F62" s="24">
        <f>F66+F67</f>
        <v>17</v>
      </c>
    </row>
    <row r="63" spans="1:6" x14ac:dyDescent="0.35">
      <c r="A63" s="37" t="s">
        <v>9</v>
      </c>
      <c r="B63" s="21">
        <f t="shared" si="4"/>
        <v>7017</v>
      </c>
      <c r="C63" s="22">
        <v>3959</v>
      </c>
      <c r="D63" s="21">
        <v>3058</v>
      </c>
      <c r="E63" s="20">
        <v>117</v>
      </c>
      <c r="F63" s="19">
        <v>16</v>
      </c>
    </row>
    <row r="64" spans="1:6" x14ac:dyDescent="0.35">
      <c r="A64" s="33" t="s">
        <v>8</v>
      </c>
      <c r="B64" s="15">
        <f t="shared" si="4"/>
        <v>144</v>
      </c>
      <c r="C64" s="16">
        <v>56</v>
      </c>
      <c r="D64" s="15">
        <v>88</v>
      </c>
      <c r="E64" s="14">
        <v>28</v>
      </c>
      <c r="F64" s="13">
        <v>1</v>
      </c>
    </row>
    <row r="65" spans="1:15" x14ac:dyDescent="0.35">
      <c r="A65" s="36" t="s">
        <v>7</v>
      </c>
      <c r="B65" s="11">
        <f t="shared" si="4"/>
        <v>0</v>
      </c>
      <c r="C65" s="35">
        <v>0</v>
      </c>
      <c r="D65" s="11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6316</v>
      </c>
      <c r="C66" s="15">
        <v>3618</v>
      </c>
      <c r="D66" s="15">
        <v>2698</v>
      </c>
      <c r="E66" s="32">
        <v>88</v>
      </c>
      <c r="F66" s="13">
        <v>11</v>
      </c>
    </row>
    <row r="67" spans="1:15" x14ac:dyDescent="0.35">
      <c r="A67" s="31" t="s">
        <v>2</v>
      </c>
      <c r="B67" s="29">
        <f t="shared" si="4"/>
        <v>845</v>
      </c>
      <c r="C67" s="30">
        <v>397</v>
      </c>
      <c r="D67" s="29">
        <v>448</v>
      </c>
      <c r="E67" s="28">
        <v>57</v>
      </c>
      <c r="F67" s="27">
        <v>6</v>
      </c>
    </row>
    <row r="68" spans="1:15" x14ac:dyDescent="0.35">
      <c r="A68" s="26" t="s">
        <v>6</v>
      </c>
      <c r="B68" s="25">
        <f t="shared" si="4"/>
        <v>52757</v>
      </c>
      <c r="C68" s="25">
        <f>C69+C70</f>
        <v>28618</v>
      </c>
      <c r="D68" s="25">
        <f>D69+D70</f>
        <v>24139</v>
      </c>
      <c r="E68" s="25">
        <f>E71+E72</f>
        <v>2442</v>
      </c>
      <c r="F68" s="24">
        <f>F71+F72</f>
        <v>91</v>
      </c>
    </row>
    <row r="69" spans="1:15" x14ac:dyDescent="0.35">
      <c r="A69" s="23" t="s">
        <v>5</v>
      </c>
      <c r="B69" s="21">
        <f t="shared" si="4"/>
        <v>47202</v>
      </c>
      <c r="C69" s="22">
        <v>25205</v>
      </c>
      <c r="D69" s="21">
        <v>21997</v>
      </c>
      <c r="E69" s="20">
        <v>2141</v>
      </c>
      <c r="F69" s="19">
        <v>76</v>
      </c>
      <c r="G69" s="18"/>
    </row>
    <row r="70" spans="1:15" x14ac:dyDescent="0.35">
      <c r="A70" s="17" t="s">
        <v>4</v>
      </c>
      <c r="B70" s="15">
        <f t="shared" si="4"/>
        <v>5555</v>
      </c>
      <c r="C70" s="16">
        <v>3413</v>
      </c>
      <c r="D70" s="15">
        <v>2142</v>
      </c>
      <c r="E70" s="14">
        <v>301</v>
      </c>
      <c r="F70" s="13">
        <v>26</v>
      </c>
    </row>
    <row r="71" spans="1:15" x14ac:dyDescent="0.35">
      <c r="A71" s="12" t="s">
        <v>3</v>
      </c>
      <c r="B71" s="11">
        <f t="shared" si="4"/>
        <v>40336</v>
      </c>
      <c r="C71" s="11">
        <v>20719</v>
      </c>
      <c r="D71" s="11">
        <v>19617</v>
      </c>
      <c r="E71" s="10">
        <v>909</v>
      </c>
      <c r="F71" s="9">
        <v>26</v>
      </c>
    </row>
    <row r="72" spans="1:15" x14ac:dyDescent="0.35">
      <c r="A72" s="8" t="s">
        <v>2</v>
      </c>
      <c r="B72" s="6">
        <f t="shared" si="4"/>
        <v>12421</v>
      </c>
      <c r="C72" s="7">
        <v>7899</v>
      </c>
      <c r="D72" s="6">
        <v>4522</v>
      </c>
      <c r="E72" s="5">
        <v>1533</v>
      </c>
      <c r="F72" s="4">
        <v>65</v>
      </c>
    </row>
    <row r="73" spans="1:15" x14ac:dyDescent="0.35">
      <c r="F73" s="3" t="s">
        <v>1</v>
      </c>
    </row>
    <row r="74" spans="1:15" ht="41.1" customHeight="1" x14ac:dyDescent="0.35">
      <c r="A74" s="144" t="s">
        <v>0</v>
      </c>
      <c r="B74" s="144"/>
      <c r="C74" s="144"/>
      <c r="D74" s="144"/>
      <c r="E74" s="144"/>
      <c r="F74" s="144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CE75B-4920-4907-A7E6-B9DFCECB25D6}">
  <sheetPr codeName="Hoja2">
    <tabColor rgb="FFD4C19C"/>
    <pageSetUpPr fitToPage="1"/>
  </sheetPr>
  <dimension ref="A1:J67"/>
  <sheetViews>
    <sheetView showGridLines="0" showZeros="0" topLeftCell="A4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1">
        <v>27</v>
      </c>
      <c r="C1" s="91">
        <v>28</v>
      </c>
      <c r="D1" s="91" t="e">
        <v>#VALUE!</v>
      </c>
      <c r="E1" s="91">
        <v>29</v>
      </c>
      <c r="F1" s="91" t="e">
        <v>#VALUE!</v>
      </c>
    </row>
    <row r="3" spans="1:10" ht="13.5" customHeight="1" x14ac:dyDescent="0.35">
      <c r="C3" s="87"/>
      <c r="D3" s="87"/>
      <c r="E3" s="87"/>
      <c r="F3" s="87" t="s">
        <v>41</v>
      </c>
    </row>
    <row r="4" spans="1:10" ht="3" customHeight="1" x14ac:dyDescent="0.35">
      <c r="C4" s="87"/>
      <c r="D4" s="87"/>
      <c r="E4" s="87"/>
      <c r="F4" s="87"/>
    </row>
    <row r="5" spans="1:10" ht="15" customHeight="1" x14ac:dyDescent="0.35">
      <c r="C5" s="87"/>
      <c r="D5" s="87"/>
      <c r="E5" s="87"/>
      <c r="F5" s="87" t="s">
        <v>40</v>
      </c>
    </row>
    <row r="6" spans="1:10" ht="3.75" customHeight="1" x14ac:dyDescent="0.35"/>
    <row r="7" spans="1:10" s="1" customFormat="1" ht="15.75" customHeight="1" x14ac:dyDescent="0.35">
      <c r="A7" s="138" t="s">
        <v>29</v>
      </c>
      <c r="B7" s="138"/>
      <c r="C7" s="138"/>
      <c r="D7" s="138"/>
      <c r="E7" s="138"/>
      <c r="F7" s="138"/>
      <c r="H7" s="2"/>
      <c r="I7" s="2"/>
    </row>
    <row r="8" spans="1:10" s="1" customFormat="1" ht="15.75" customHeight="1" x14ac:dyDescent="0.35">
      <c r="A8" s="138" t="s">
        <v>76</v>
      </c>
      <c r="B8" s="138"/>
      <c r="C8" s="138"/>
      <c r="D8" s="138"/>
      <c r="E8" s="138"/>
      <c r="F8" s="138"/>
      <c r="H8" s="2"/>
      <c r="I8" s="2"/>
    </row>
    <row r="9" spans="1:10" s="1" customFormat="1" ht="3" customHeight="1" x14ac:dyDescent="0.35">
      <c r="A9" s="143"/>
      <c r="B9" s="142"/>
      <c r="C9" s="141"/>
      <c r="D9" s="140"/>
      <c r="E9" s="141"/>
      <c r="F9" s="140"/>
      <c r="H9" s="137"/>
      <c r="I9" s="2"/>
    </row>
    <row r="10" spans="1:10" s="1" customFormat="1" ht="15.75" customHeight="1" x14ac:dyDescent="0.35">
      <c r="A10" s="139" t="s">
        <v>38</v>
      </c>
      <c r="B10" s="139"/>
      <c r="C10" s="138"/>
      <c r="D10" s="138"/>
      <c r="E10" s="138"/>
      <c r="F10" s="138"/>
      <c r="H10" s="137"/>
      <c r="I10" s="2"/>
    </row>
    <row r="11" spans="1:10" ht="18" customHeight="1" x14ac:dyDescent="0.35">
      <c r="A11" s="150" t="s">
        <v>75</v>
      </c>
      <c r="B11" s="136" t="s">
        <v>74</v>
      </c>
      <c r="C11" s="135" t="s">
        <v>73</v>
      </c>
      <c r="D11" s="134"/>
      <c r="E11" s="135" t="s">
        <v>72</v>
      </c>
      <c r="F11" s="134"/>
    </row>
    <row r="12" spans="1:10" ht="21.75" customHeight="1" x14ac:dyDescent="0.35">
      <c r="A12" s="151"/>
      <c r="B12" s="133" t="s">
        <v>71</v>
      </c>
      <c r="C12" s="132" t="s">
        <v>71</v>
      </c>
      <c r="D12" s="130" t="s">
        <v>70</v>
      </c>
      <c r="E12" s="131" t="s">
        <v>71</v>
      </c>
      <c r="F12" s="130" t="s">
        <v>70</v>
      </c>
    </row>
    <row r="13" spans="1:10" x14ac:dyDescent="0.35">
      <c r="A13" s="129" t="s">
        <v>28</v>
      </c>
      <c r="B13" s="128"/>
      <c r="C13" s="127"/>
      <c r="D13" s="127"/>
      <c r="E13" s="127"/>
      <c r="F13" s="126"/>
      <c r="H13" s="88"/>
    </row>
    <row r="14" spans="1:10" x14ac:dyDescent="0.35">
      <c r="A14" s="105" t="s">
        <v>69</v>
      </c>
      <c r="B14" s="104">
        <v>91.153486856953364</v>
      </c>
      <c r="C14" s="104">
        <v>89.98883586821637</v>
      </c>
      <c r="D14" s="103">
        <v>90.548895792070439</v>
      </c>
      <c r="E14" s="102">
        <v>90.755679190868292</v>
      </c>
      <c r="F14" s="101">
        <v>92.175076705359459</v>
      </c>
      <c r="H14" s="88"/>
      <c r="I14" s="88"/>
      <c r="J14" s="88"/>
    </row>
    <row r="15" spans="1:10" x14ac:dyDescent="0.35">
      <c r="A15" s="110" t="s">
        <v>68</v>
      </c>
      <c r="B15" s="109">
        <v>90.667118536118281</v>
      </c>
      <c r="C15" s="109">
        <v>89.574796020177487</v>
      </c>
      <c r="D15" s="108">
        <v>89.822984263753895</v>
      </c>
      <c r="E15" s="107">
        <v>90.33811595172439</v>
      </c>
      <c r="F15" s="106">
        <v>91.436409983971117</v>
      </c>
      <c r="H15" s="88"/>
      <c r="I15" s="88"/>
      <c r="J15" s="88"/>
    </row>
    <row r="16" spans="1:10" x14ac:dyDescent="0.35">
      <c r="A16" s="124" t="s">
        <v>26</v>
      </c>
      <c r="B16" s="123"/>
      <c r="C16" s="123"/>
      <c r="D16" s="123"/>
      <c r="E16" s="123"/>
      <c r="F16" s="122"/>
      <c r="H16" s="88"/>
      <c r="I16" s="88"/>
      <c r="J16" s="88"/>
    </row>
    <row r="17" spans="1:10" x14ac:dyDescent="0.35">
      <c r="A17" s="105" t="s">
        <v>67</v>
      </c>
      <c r="B17" s="104">
        <v>38.85722315414138</v>
      </c>
      <c r="C17" s="104">
        <v>36.162846439287684</v>
      </c>
      <c r="D17" s="103">
        <v>38.580942141638275</v>
      </c>
      <c r="E17" s="102">
        <v>43.792017089567643</v>
      </c>
      <c r="F17" s="101">
        <v>48.361513668823143</v>
      </c>
      <c r="H17" s="88"/>
      <c r="I17" s="88"/>
      <c r="J17" s="88"/>
    </row>
    <row r="18" spans="1:10" x14ac:dyDescent="0.35">
      <c r="A18" s="110" t="s">
        <v>66</v>
      </c>
      <c r="B18" s="109">
        <v>88.885204704896864</v>
      </c>
      <c r="C18" s="109">
        <v>89.216497385977576</v>
      </c>
      <c r="D18" s="108">
        <v>77.998743134706629</v>
      </c>
      <c r="E18" s="107">
        <v>94.892621390317245</v>
      </c>
      <c r="F18" s="106">
        <v>88.525570726115859</v>
      </c>
      <c r="H18" s="88"/>
      <c r="I18" s="88"/>
      <c r="J18" s="88"/>
    </row>
    <row r="19" spans="1:10" x14ac:dyDescent="0.35">
      <c r="A19" s="105" t="s">
        <v>65</v>
      </c>
      <c r="B19" s="104">
        <v>72.424055204100284</v>
      </c>
      <c r="C19" s="104">
        <v>70.833296888803361</v>
      </c>
      <c r="D19" s="103">
        <v>73.121669901048492</v>
      </c>
      <c r="E19" s="102">
        <v>74.257154956417409</v>
      </c>
      <c r="F19" s="101">
        <v>77.265666530891224</v>
      </c>
      <c r="H19" s="88"/>
      <c r="I19" s="88"/>
      <c r="J19" s="88"/>
    </row>
    <row r="20" spans="1:10" x14ac:dyDescent="0.35">
      <c r="A20" s="110" t="s">
        <v>64</v>
      </c>
      <c r="B20" s="109">
        <v>66.787521914114151</v>
      </c>
      <c r="C20" s="109">
        <v>65.498997336997533</v>
      </c>
      <c r="D20" s="108">
        <v>63.307350306076884</v>
      </c>
      <c r="E20" s="107">
        <v>71.069825931956558</v>
      </c>
      <c r="F20" s="106">
        <v>71.448553833817613</v>
      </c>
      <c r="H20" s="88"/>
      <c r="I20" s="88"/>
      <c r="J20" s="88"/>
    </row>
    <row r="21" spans="1:10" x14ac:dyDescent="0.35">
      <c r="A21" s="105" t="s">
        <v>63</v>
      </c>
      <c r="B21" s="104">
        <v>67.293657866074909</v>
      </c>
      <c r="C21" s="104">
        <v>66.071528187602212</v>
      </c>
      <c r="D21" s="103">
        <v>63.672054942229941</v>
      </c>
      <c r="E21" s="102">
        <v>71.691179741789682</v>
      </c>
      <c r="F21" s="101">
        <v>71.858408255034533</v>
      </c>
      <c r="H21" s="88"/>
      <c r="I21" s="88"/>
      <c r="J21" s="88"/>
    </row>
    <row r="22" spans="1:10" x14ac:dyDescent="0.35">
      <c r="A22" s="124" t="s">
        <v>24</v>
      </c>
      <c r="B22" s="123"/>
      <c r="C22" s="123"/>
      <c r="D22" s="123"/>
      <c r="E22" s="123"/>
      <c r="F22" s="122"/>
      <c r="H22" s="88"/>
      <c r="I22" s="88"/>
      <c r="J22" s="88"/>
    </row>
    <row r="23" spans="1:10" x14ac:dyDescent="0.35">
      <c r="A23" s="105" t="s">
        <v>50</v>
      </c>
      <c r="B23" s="104">
        <v>0.61989494081132746</v>
      </c>
      <c r="C23" s="104">
        <v>0.60599829712306708</v>
      </c>
      <c r="D23" s="103">
        <v>0.43876962396363073</v>
      </c>
      <c r="E23" s="104">
        <v>0.59752560666691545</v>
      </c>
      <c r="F23" s="101">
        <v>0.39712680772554521</v>
      </c>
      <c r="H23" s="88"/>
      <c r="I23" s="88"/>
      <c r="J23" s="88"/>
    </row>
    <row r="24" spans="1:10" x14ac:dyDescent="0.35">
      <c r="A24" s="110" t="s">
        <v>58</v>
      </c>
      <c r="B24" s="109">
        <v>0.10578909371626866</v>
      </c>
      <c r="C24" s="109">
        <v>0.13984554675261496</v>
      </c>
      <c r="D24" s="108">
        <v>0.47104009397397339</v>
      </c>
      <c r="E24" s="109">
        <v>0.13990926472684517</v>
      </c>
      <c r="F24" s="106">
        <v>0.45218297092196602</v>
      </c>
      <c r="H24" s="88"/>
      <c r="I24" s="88"/>
      <c r="J24" s="88"/>
    </row>
    <row r="25" spans="1:10" x14ac:dyDescent="0.35">
      <c r="A25" s="105" t="s">
        <v>57</v>
      </c>
      <c r="B25" s="104">
        <v>97.378048270030888</v>
      </c>
      <c r="C25" s="104">
        <v>97.775819379747361</v>
      </c>
      <c r="D25" s="103">
        <v>96.9551648474215</v>
      </c>
      <c r="E25" s="104">
        <v>97.29919326552087</v>
      </c>
      <c r="F25" s="101">
        <v>98.150026946338286</v>
      </c>
      <c r="H25" s="88"/>
      <c r="I25" s="88"/>
      <c r="J25" s="88"/>
    </row>
    <row r="26" spans="1:10" x14ac:dyDescent="0.35">
      <c r="A26" s="110" t="s">
        <v>56</v>
      </c>
      <c r="B26" s="109">
        <v>102.19463553060453</v>
      </c>
      <c r="C26" s="109">
        <v>102.59357111404668</v>
      </c>
      <c r="D26" s="108">
        <v>101.9341223948949</v>
      </c>
      <c r="E26" s="109">
        <v>102.84412901859012</v>
      </c>
      <c r="F26" s="106">
        <v>103.78941864704068</v>
      </c>
      <c r="H26" s="88"/>
      <c r="I26" s="88"/>
      <c r="J26" s="88"/>
    </row>
    <row r="27" spans="1:10" x14ac:dyDescent="0.35">
      <c r="A27" s="105" t="s">
        <v>62</v>
      </c>
      <c r="B27" s="104">
        <v>102.29215848212654</v>
      </c>
      <c r="C27" s="104">
        <v>100.98898415256356</v>
      </c>
      <c r="D27" s="103">
        <v>101.72046958709984</v>
      </c>
      <c r="E27" s="104">
        <v>99.666449080429828</v>
      </c>
      <c r="F27" s="101">
        <v>101.19578388660526</v>
      </c>
      <c r="H27" s="88"/>
      <c r="I27" s="88"/>
      <c r="J27" s="88"/>
    </row>
    <row r="28" spans="1:10" x14ac:dyDescent="0.35">
      <c r="A28" s="110" t="s">
        <v>61</v>
      </c>
      <c r="B28" s="109">
        <v>96.506289147292492</v>
      </c>
      <c r="C28" s="109">
        <v>95.502556910824723</v>
      </c>
      <c r="D28" s="108">
        <v>96.314695429046509</v>
      </c>
      <c r="E28" s="109">
        <v>94.251918027556371</v>
      </c>
      <c r="F28" s="125">
        <v>95.816612827648669</v>
      </c>
      <c r="H28" s="88"/>
      <c r="I28" s="88"/>
      <c r="J28" s="88"/>
    </row>
    <row r="29" spans="1:10" x14ac:dyDescent="0.35">
      <c r="A29" s="124" t="s">
        <v>20</v>
      </c>
      <c r="B29" s="123"/>
      <c r="C29" s="123"/>
      <c r="D29" s="123"/>
      <c r="E29" s="123"/>
      <c r="F29" s="122"/>
      <c r="H29" s="88"/>
      <c r="I29" s="88"/>
      <c r="J29" s="88"/>
    </row>
    <row r="30" spans="1:10" x14ac:dyDescent="0.35">
      <c r="A30" s="105" t="s">
        <v>51</v>
      </c>
      <c r="B30" s="104">
        <v>93.679602195851317</v>
      </c>
      <c r="C30" s="104">
        <v>92.06764040886857</v>
      </c>
      <c r="D30" s="103">
        <v>93.105822485612947</v>
      </c>
      <c r="E30" s="102">
        <v>92.399673805742736</v>
      </c>
      <c r="F30" s="101">
        <v>95.031628893548429</v>
      </c>
      <c r="H30" s="88"/>
      <c r="I30" s="88"/>
      <c r="J30" s="88"/>
    </row>
    <row r="31" spans="1:10" x14ac:dyDescent="0.35">
      <c r="A31" s="110" t="s">
        <v>50</v>
      </c>
      <c r="B31" s="109">
        <v>3.5568560923773584</v>
      </c>
      <c r="C31" s="109">
        <v>2.4683977314142846</v>
      </c>
      <c r="D31" s="108">
        <v>2.54778221710249</v>
      </c>
      <c r="E31" s="107">
        <v>1.7262555679197988</v>
      </c>
      <c r="F31" s="106">
        <v>2.2918429271874818</v>
      </c>
      <c r="H31" s="88"/>
      <c r="I31" s="88"/>
      <c r="J31" s="88"/>
    </row>
    <row r="32" spans="1:10" x14ac:dyDescent="0.35">
      <c r="A32" s="105" t="s">
        <v>58</v>
      </c>
      <c r="B32" s="104">
        <v>0.67616065246803858</v>
      </c>
      <c r="C32" s="104">
        <v>0.30715648916277427</v>
      </c>
      <c r="D32" s="103">
        <v>2.2384648038226818</v>
      </c>
      <c r="E32" s="102">
        <v>0.13934075411344837</v>
      </c>
      <c r="F32" s="101">
        <v>2.1403697727291782</v>
      </c>
      <c r="H32" s="88"/>
      <c r="I32" s="88"/>
      <c r="J32" s="88"/>
    </row>
    <row r="33" spans="1:10" x14ac:dyDescent="0.35">
      <c r="A33" s="110" t="s">
        <v>57</v>
      </c>
      <c r="B33" s="109">
        <v>89.779929182914259</v>
      </c>
      <c r="C33" s="109">
        <v>92.048212558623334</v>
      </c>
      <c r="D33" s="108">
        <v>92.865387576774694</v>
      </c>
      <c r="E33" s="107">
        <v>91.824512662943974</v>
      </c>
      <c r="F33" s="106">
        <v>92.527364626036132</v>
      </c>
      <c r="H33" s="88"/>
      <c r="I33" s="88"/>
      <c r="J33" s="88"/>
    </row>
    <row r="34" spans="1:10" x14ac:dyDescent="0.35">
      <c r="A34" s="105" t="s">
        <v>56</v>
      </c>
      <c r="B34" s="104">
        <v>87.89910656298818</v>
      </c>
      <c r="C34" s="104">
        <v>88.869606582216036</v>
      </c>
      <c r="D34" s="103">
        <v>91.876923795994145</v>
      </c>
      <c r="E34" s="102">
        <v>88.232798246234353</v>
      </c>
      <c r="F34" s="101">
        <v>89.804444151920364</v>
      </c>
      <c r="H34" s="88"/>
      <c r="I34" s="88"/>
      <c r="J34" s="88"/>
    </row>
    <row r="35" spans="1:10" x14ac:dyDescent="0.35">
      <c r="A35" s="110" t="s">
        <v>60</v>
      </c>
      <c r="B35" s="109">
        <v>92.830756441254465</v>
      </c>
      <c r="C35" s="109">
        <v>91.819996477426173</v>
      </c>
      <c r="D35" s="108">
        <v>94.670888333927934</v>
      </c>
      <c r="E35" s="107">
        <v>91.754940385815004</v>
      </c>
      <c r="F35" s="106">
        <v>94.056932269296951</v>
      </c>
      <c r="H35" s="88"/>
      <c r="I35" s="88"/>
      <c r="J35" s="88"/>
    </row>
    <row r="36" spans="1:10" x14ac:dyDescent="0.35">
      <c r="A36" s="105" t="s">
        <v>59</v>
      </c>
      <c r="B36" s="104">
        <v>81.96975640027398</v>
      </c>
      <c r="C36" s="104">
        <v>81.329478071977917</v>
      </c>
      <c r="D36" s="103">
        <v>83.855666307503625</v>
      </c>
      <c r="E36" s="102">
        <v>81.271847745489211</v>
      </c>
      <c r="F36" s="121">
        <v>83.305904438452842</v>
      </c>
      <c r="H36" s="88"/>
      <c r="I36" s="88"/>
      <c r="J36" s="88"/>
    </row>
    <row r="37" spans="1:10" x14ac:dyDescent="0.35">
      <c r="A37" s="120" t="s">
        <v>10</v>
      </c>
      <c r="B37" s="119"/>
      <c r="C37" s="119"/>
      <c r="D37" s="119"/>
      <c r="E37" s="119"/>
      <c r="F37" s="118"/>
      <c r="H37" s="88"/>
      <c r="I37" s="88"/>
      <c r="J37" s="88"/>
    </row>
    <row r="38" spans="1:10" x14ac:dyDescent="0.35">
      <c r="A38" s="105" t="s">
        <v>51</v>
      </c>
      <c r="B38" s="104">
        <v>91.238539520982272</v>
      </c>
      <c r="C38" s="104">
        <v>91.917447131417617</v>
      </c>
      <c r="D38" s="103">
        <v>90.303209142071765</v>
      </c>
      <c r="E38" s="102">
        <v>92.9889079428645</v>
      </c>
      <c r="F38" s="101">
        <v>91.299275514381847</v>
      </c>
      <c r="H38" s="88"/>
      <c r="I38" s="88"/>
      <c r="J38" s="88"/>
    </row>
    <row r="39" spans="1:10" x14ac:dyDescent="0.35">
      <c r="A39" s="110" t="s">
        <v>50</v>
      </c>
      <c r="B39" s="109">
        <v>15.479018546484991</v>
      </c>
      <c r="C39" s="109">
        <v>13.363904499284441</v>
      </c>
      <c r="D39" s="108">
        <v>9.2482325469735116</v>
      </c>
      <c r="E39" s="107">
        <v>11.756996041941537</v>
      </c>
      <c r="F39" s="106">
        <v>9.2356339587371004</v>
      </c>
      <c r="H39" s="88"/>
      <c r="I39" s="88"/>
      <c r="J39" s="88"/>
    </row>
    <row r="40" spans="1:10" x14ac:dyDescent="0.35">
      <c r="A40" s="105" t="s">
        <v>58</v>
      </c>
      <c r="B40" s="104">
        <v>13.492221024972118</v>
      </c>
      <c r="C40" s="104">
        <v>13.369454921406831</v>
      </c>
      <c r="D40" s="103">
        <v>12.053771184956375</v>
      </c>
      <c r="E40" s="102">
        <v>13.245232582217959</v>
      </c>
      <c r="F40" s="101">
        <v>11.972895108572123</v>
      </c>
      <c r="H40" s="88"/>
      <c r="I40" s="88"/>
      <c r="J40" s="88"/>
    </row>
    <row r="41" spans="1:10" x14ac:dyDescent="0.35">
      <c r="A41" s="110" t="s">
        <v>57</v>
      </c>
      <c r="B41" s="109">
        <v>57.893608493423933</v>
      </c>
      <c r="C41" s="109">
        <v>62.544290891470908</v>
      </c>
      <c r="D41" s="108">
        <v>70.240267556253883</v>
      </c>
      <c r="E41" s="107">
        <v>66.820128598147392</v>
      </c>
      <c r="F41" s="106">
        <v>73.212677807008802</v>
      </c>
      <c r="H41" s="88"/>
      <c r="I41" s="88"/>
      <c r="J41" s="88"/>
    </row>
    <row r="42" spans="1:10" x14ac:dyDescent="0.35">
      <c r="A42" s="105" t="s">
        <v>56</v>
      </c>
      <c r="B42" s="104">
        <v>55.461794672595921</v>
      </c>
      <c r="C42" s="104">
        <v>55.32121969730791</v>
      </c>
      <c r="D42" s="103">
        <v>63.600436314437992</v>
      </c>
      <c r="E42" s="102">
        <v>53.875256536093509</v>
      </c>
      <c r="F42" s="101">
        <v>60.075548708762398</v>
      </c>
      <c r="H42" s="88"/>
      <c r="I42" s="88"/>
      <c r="J42" s="88"/>
    </row>
    <row r="43" spans="1:10" x14ac:dyDescent="0.35">
      <c r="A43" s="110" t="s">
        <v>55</v>
      </c>
      <c r="B43" s="109">
        <v>69.270394085340598</v>
      </c>
      <c r="C43" s="109">
        <v>67.454249000806428</v>
      </c>
      <c r="D43" s="108">
        <v>72.862042704061992</v>
      </c>
      <c r="E43" s="107">
        <v>68.004427064118644</v>
      </c>
      <c r="F43" s="106">
        <v>73.197457862217306</v>
      </c>
      <c r="H43" s="88"/>
      <c r="I43" s="88"/>
      <c r="J43" s="88"/>
    </row>
    <row r="44" spans="1:10" x14ac:dyDescent="0.35">
      <c r="A44" s="105" t="s">
        <v>54</v>
      </c>
      <c r="B44" s="104">
        <v>72.273564751827024</v>
      </c>
      <c r="C44" s="104">
        <v>69.561826390483077</v>
      </c>
      <c r="D44" s="103">
        <v>78.400458538136903</v>
      </c>
      <c r="E44" s="102">
        <v>70.129122703460496</v>
      </c>
      <c r="F44" s="101">
        <v>78.773452915283144</v>
      </c>
      <c r="H44" s="88"/>
      <c r="I44" s="117"/>
      <c r="J44" s="117"/>
    </row>
    <row r="45" spans="1:10" x14ac:dyDescent="0.35">
      <c r="A45" s="110" t="s">
        <v>53</v>
      </c>
      <c r="B45" s="109">
        <v>56.790486237426798</v>
      </c>
      <c r="C45" s="109">
        <v>55.085439144843342</v>
      </c>
      <c r="D45" s="108">
        <v>60.675903080458362</v>
      </c>
      <c r="E45" s="107">
        <v>55.27071497085516</v>
      </c>
      <c r="F45" s="106">
        <v>59.146954254527095</v>
      </c>
      <c r="H45" s="88"/>
      <c r="I45" s="88"/>
      <c r="J45" s="88"/>
    </row>
    <row r="46" spans="1:10" x14ac:dyDescent="0.35">
      <c r="A46" s="116" t="s">
        <v>52</v>
      </c>
      <c r="B46" s="115"/>
      <c r="C46" s="115"/>
      <c r="D46" s="115"/>
      <c r="E46" s="115"/>
      <c r="F46" s="114"/>
      <c r="H46" s="88"/>
      <c r="I46" s="88"/>
      <c r="J46" s="88"/>
    </row>
    <row r="47" spans="1:10" x14ac:dyDescent="0.35">
      <c r="A47" s="105" t="s">
        <v>51</v>
      </c>
      <c r="B47" s="104">
        <v>55.01649200450921</v>
      </c>
      <c r="C47" s="104">
        <v>59.225187872505835</v>
      </c>
      <c r="D47" s="103">
        <v>68.075095204300098</v>
      </c>
      <c r="E47" s="102">
        <v>59.563567977692031</v>
      </c>
      <c r="F47" s="101">
        <v>69.076045758390194</v>
      </c>
      <c r="H47" s="88"/>
      <c r="I47" s="88"/>
      <c r="J47" s="88"/>
    </row>
    <row r="48" spans="1:10" x14ac:dyDescent="0.35">
      <c r="A48" s="110" t="s">
        <v>50</v>
      </c>
      <c r="B48" s="109">
        <v>6.7838177469698779</v>
      </c>
      <c r="C48" s="109">
        <v>6.7699461973125707</v>
      </c>
      <c r="D48" s="108">
        <v>8.5439504278360232</v>
      </c>
      <c r="E48" s="107">
        <v>6.730678206775309</v>
      </c>
      <c r="F48" s="106">
        <v>8.3337551407782318</v>
      </c>
      <c r="H48" s="88"/>
      <c r="I48" s="88"/>
      <c r="J48" s="88"/>
    </row>
    <row r="49" spans="1:10" x14ac:dyDescent="0.35">
      <c r="A49" s="105" t="s">
        <v>49</v>
      </c>
      <c r="B49" s="104">
        <v>23.994251785716987</v>
      </c>
      <c r="C49" s="104">
        <v>23.967812630901577</v>
      </c>
      <c r="D49" s="103">
        <v>30.621789759912865</v>
      </c>
      <c r="E49" s="102">
        <v>23.995860974950087</v>
      </c>
      <c r="F49" s="101">
        <v>30.806235981494044</v>
      </c>
      <c r="H49" s="88"/>
      <c r="I49" s="88"/>
      <c r="J49" s="88"/>
    </row>
    <row r="50" spans="1:10" x14ac:dyDescent="0.35">
      <c r="A50" s="110" t="s">
        <v>48</v>
      </c>
      <c r="B50" s="109">
        <v>26.81894035343295</v>
      </c>
      <c r="C50" s="109">
        <v>26.85028066590322</v>
      </c>
      <c r="D50" s="108">
        <v>34.484611655840489</v>
      </c>
      <c r="E50" s="107">
        <v>26.85647250248789</v>
      </c>
      <c r="F50" s="106">
        <v>34.683476115270743</v>
      </c>
      <c r="H50" s="88"/>
      <c r="I50" s="88"/>
      <c r="J50" s="88"/>
    </row>
    <row r="51" spans="1:10" x14ac:dyDescent="0.35">
      <c r="A51" s="105" t="s">
        <v>47</v>
      </c>
      <c r="B51" s="104">
        <v>33.518149088332869</v>
      </c>
      <c r="C51" s="104">
        <v>35.416715818740464</v>
      </c>
      <c r="D51" s="103">
        <v>42.545891307303194</v>
      </c>
      <c r="E51" s="102">
        <v>35.415894876767851</v>
      </c>
      <c r="F51" s="101">
        <v>42.84947472301657</v>
      </c>
      <c r="H51" s="88"/>
      <c r="I51" s="88"/>
      <c r="J51" s="88"/>
    </row>
    <row r="52" spans="1:10" x14ac:dyDescent="0.35">
      <c r="A52" s="113" t="s">
        <v>46</v>
      </c>
      <c r="B52" s="112"/>
      <c r="C52" s="112"/>
      <c r="D52" s="112"/>
      <c r="E52" s="112"/>
      <c r="F52" s="111"/>
      <c r="H52" s="88"/>
      <c r="I52" s="88"/>
      <c r="J52" s="88"/>
    </row>
    <row r="53" spans="1:10" x14ac:dyDescent="0.35">
      <c r="A53" s="110" t="s">
        <v>45</v>
      </c>
      <c r="B53" s="109">
        <v>13.11839463334282</v>
      </c>
      <c r="C53" s="109">
        <v>12.937659586711794</v>
      </c>
      <c r="D53" s="108">
        <v>13.596245811879109</v>
      </c>
      <c r="E53" s="107">
        <v>12.7568314699908</v>
      </c>
      <c r="F53" s="106">
        <v>13.486295481889201</v>
      </c>
      <c r="H53" s="88"/>
      <c r="I53" s="88"/>
      <c r="J53" s="88"/>
    </row>
    <row r="54" spans="1:10" x14ac:dyDescent="0.35">
      <c r="A54" s="105" t="s">
        <v>44</v>
      </c>
      <c r="B54" s="104">
        <v>9.0399999999999991</v>
      </c>
      <c r="C54" s="104">
        <v>9.1716298637076346</v>
      </c>
      <c r="D54" s="103">
        <v>9.8556313156987496</v>
      </c>
      <c r="E54" s="102">
        <v>9.30325972741527</v>
      </c>
      <c r="F54" s="101">
        <v>9.971262631397499</v>
      </c>
      <c r="H54" s="88"/>
      <c r="I54" s="88"/>
      <c r="J54" s="88"/>
    </row>
    <row r="55" spans="1:10" x14ac:dyDescent="0.35">
      <c r="A55" s="100" t="s">
        <v>43</v>
      </c>
      <c r="B55" s="99">
        <v>5.1660744536796868</v>
      </c>
      <c r="C55" s="99">
        <v>5.0229084511655735</v>
      </c>
      <c r="D55" s="98">
        <v>4.4889089590471833</v>
      </c>
      <c r="E55" s="97">
        <v>4.8251449652851903</v>
      </c>
      <c r="F55" s="96">
        <v>4.3201167946423542</v>
      </c>
      <c r="H55" s="88"/>
      <c r="I55" s="88"/>
      <c r="J55" s="88"/>
    </row>
    <row r="56" spans="1:10" ht="14.25" customHeight="1" x14ac:dyDescent="0.35">
      <c r="A56" s="95"/>
      <c r="B56" s="94"/>
      <c r="D56" s="93"/>
      <c r="F56" s="93" t="s">
        <v>1</v>
      </c>
      <c r="H56" s="88"/>
      <c r="I56" s="88"/>
      <c r="J56" s="88"/>
    </row>
    <row r="57" spans="1:10" s="91" customFormat="1" ht="83.25" customHeight="1" x14ac:dyDescent="0.35">
      <c r="A57" s="152" t="s">
        <v>42</v>
      </c>
      <c r="B57" s="152"/>
      <c r="C57" s="152"/>
      <c r="D57" s="152"/>
      <c r="E57" s="92"/>
      <c r="H57" s="88"/>
      <c r="I57" s="88"/>
      <c r="J57" s="88"/>
    </row>
    <row r="58" spans="1:10" x14ac:dyDescent="0.35">
      <c r="B58" s="88"/>
      <c r="C58" s="88"/>
      <c r="D58" s="88"/>
      <c r="E58" s="90"/>
      <c r="H58" s="88"/>
      <c r="I58" s="88"/>
      <c r="J58" s="88"/>
    </row>
    <row r="59" spans="1:10" x14ac:dyDescent="0.35">
      <c r="H59" s="88"/>
      <c r="I59" s="88"/>
      <c r="J59" s="88"/>
    </row>
    <row r="60" spans="1:10" x14ac:dyDescent="0.35">
      <c r="E60" s="89"/>
      <c r="H60" s="88"/>
      <c r="I60" s="88"/>
      <c r="J60" s="88"/>
    </row>
    <row r="61" spans="1:10" x14ac:dyDescent="0.35">
      <c r="E61" s="89"/>
      <c r="H61" s="88"/>
    </row>
    <row r="62" spans="1:10" x14ac:dyDescent="0.35">
      <c r="A62" s="89"/>
      <c r="B62" s="89"/>
      <c r="C62" s="89"/>
      <c r="D62" s="89"/>
      <c r="E62" s="89"/>
      <c r="H62" s="88"/>
    </row>
    <row r="63" spans="1:10" x14ac:dyDescent="0.35">
      <c r="A63" s="89"/>
      <c r="B63" s="89"/>
      <c r="C63" s="89"/>
      <c r="D63" s="89"/>
      <c r="E63" s="89"/>
      <c r="H63" s="88"/>
    </row>
    <row r="64" spans="1:10" x14ac:dyDescent="0.35">
      <c r="A64" s="89"/>
      <c r="B64" s="89"/>
      <c r="C64" s="89"/>
      <c r="D64" s="89"/>
      <c r="E64" s="89"/>
      <c r="H64" s="88"/>
    </row>
    <row r="65" spans="8:8" x14ac:dyDescent="0.35">
      <c r="H65" s="88"/>
    </row>
    <row r="66" spans="8:8" x14ac:dyDescent="0.35">
      <c r="H66" s="88"/>
    </row>
    <row r="67" spans="8:8" x14ac:dyDescent="0.35">
      <c r="H67" s="88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Gto</vt:lpstr>
      <vt:lpstr>GTO</vt:lpstr>
      <vt:lpstr>'Est Gto'!Área_de_impresión</vt:lpstr>
      <vt:lpstr>GTO!Área_de_impresión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2022-09-07T17:15:16Z</cp:lastPrinted>
  <dcterms:created xsi:type="dcterms:W3CDTF">2022-09-06T18:53:39Z</dcterms:created>
  <dcterms:modified xsi:type="dcterms:W3CDTF">2022-09-07T19:13:37Z</dcterms:modified>
</cp:coreProperties>
</file>