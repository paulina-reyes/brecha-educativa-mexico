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ÁngelMaglufHernández\Desktop\SEPTIEMBRE 6, 2022\Hojas Resumen X Entidad\"/>
    </mc:Choice>
  </mc:AlternateContent>
  <xr:revisionPtr revIDLastSave="0" documentId="13_ncr:1_{9E4EA1E9-F6D8-415C-B9D1-6F6B15AC1FBA}" xr6:coauthVersionLast="47" xr6:coauthVersionMax="47" xr10:uidLastSave="{00000000-0000-0000-0000-000000000000}"/>
  <bookViews>
    <workbookView xWindow="-120" yWindow="-120" windowWidth="29040" windowHeight="15840" xr2:uid="{3AEDC64E-9427-4BA7-AE2C-65C2066FB78C}"/>
  </bookViews>
  <sheets>
    <sheet name="Est Col" sheetId="1" r:id="rId1"/>
    <sheet name="CO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1">COL!$A$1:$F$57</definedName>
    <definedName name="_xlnm.Print_Area" localSheetId="0">'Est Col'!$A$1:$F$74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E17" i="1"/>
  <c r="C19" i="1"/>
  <c r="B19" i="1" s="1"/>
  <c r="D19" i="1"/>
  <c r="E19" i="1"/>
  <c r="B20" i="1"/>
  <c r="C20" i="1"/>
  <c r="D20" i="1"/>
  <c r="D17" i="1" s="1"/>
  <c r="E20" i="1"/>
  <c r="F20" i="1"/>
  <c r="F19" i="1" s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B53" i="1"/>
  <c r="C53" i="1"/>
  <c r="D53" i="1"/>
  <c r="E53" i="1"/>
  <c r="F53" i="1"/>
  <c r="B54" i="1"/>
  <c r="B55" i="1"/>
  <c r="B56" i="1"/>
  <c r="B57" i="1"/>
  <c r="B58" i="1"/>
  <c r="C60" i="1"/>
  <c r="C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B59" i="1" l="1"/>
  <c r="D16" i="1"/>
  <c r="D13" i="1" s="1"/>
  <c r="D14" i="1"/>
  <c r="E16" i="1"/>
  <c r="E13" i="1" s="1"/>
  <c r="C16" i="1"/>
  <c r="C15" i="1"/>
  <c r="B15" i="1" s="1"/>
  <c r="B18" i="1"/>
  <c r="E14" i="1"/>
  <c r="B60" i="1"/>
  <c r="B17" i="1"/>
  <c r="C14" i="1"/>
  <c r="B14" i="1" s="1"/>
  <c r="B21" i="1"/>
  <c r="F17" i="1"/>
  <c r="C13" i="1" l="1"/>
  <c r="B13" i="1" s="1"/>
  <c r="B16" i="1"/>
  <c r="F14" i="1"/>
  <c r="F16" i="1"/>
  <c r="F13" i="1" s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<sst xmlns="http://schemas.openxmlformats.org/spreadsheetml/2006/main" count="133" uniqueCount="78">
  <si>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</si>
  <si>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</si>
  <si>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</si>
  <si>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</si>
  <si>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</si>
  <si>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</si>
  <si>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</si>
  <si>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</si>
  <si>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</si>
  <si>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</si>
  <si>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</si>
  <si>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</si>
  <si>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</si>
  <si>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</si>
  <si>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</si>
  <si>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</si>
  <si>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</si>
  <si>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</si>
  <si>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</si>
  <si>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</si>
  <si>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</si>
  <si>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</si>
  <si>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</si>
  <si>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</si>
  <si>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</si>
  <si>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</si>
  <si>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</si>
  <si>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</si>
  <si>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</si>
  <si>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</si>
  <si>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</si>
  <si>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</si>
  <si>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</si>
  <si>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</si>
  <si>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</si>
  <si>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</si>
  <si>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</si>
  <si>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</si>
  <si>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Colima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</si>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</sst>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sz val="9"/>
      <name val="Montserrat"/>
    </font>
    <font>
      <b/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1" quotePrefix="1" applyNumberFormat="1" applyFont="1" applyFill="1" applyBorder="1" applyAlignment="1">
      <alignment horizontal="center" vertical="center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167" fontId="14" fillId="0" borderId="0" xfId="0" applyNumberFormat="1" applyFont="1"/>
    <xf numFmtId="167" fontId="14" fillId="0" borderId="0" xfId="0" quotePrefix="1" applyNumberFormat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167" fontId="2" fillId="0" borderId="0" xfId="0" applyNumberFormat="1" applyFont="1"/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/>
    <xf numFmtId="0" fontId="22" fillId="0" borderId="0" xfId="0" quotePrefix="1" applyFont="1"/>
    <xf numFmtId="0" fontId="23" fillId="0" borderId="0" xfId="0" quotePrefix="1" applyFont="1"/>
    <xf numFmtId="0" fontId="23" fillId="0" borderId="0" xfId="0" applyFont="1"/>
    <xf numFmtId="0" fontId="23" fillId="0" borderId="0" xfId="0" applyFont="1" applyAlignment="1">
      <alignment horizontal="centerContinuous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633331F7-D31F-4186-BEA0-036B27F79A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82A59869-E31B-40D1-A50A-59D368539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4D85F297-767B-4FD8-A015-BF71F28E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2EB3-98BF-4A62-8EB8-37EE3C6EC4CD}">
  <sheetPr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9" t="s">
        <v>41</v>
      </c>
    </row>
    <row r="3" spans="1:16" x14ac:dyDescent="0.35">
      <c r="F3" s="89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7" customFormat="1" ht="15.75" customHeight="1" x14ac:dyDescent="0.35">
      <c r="A7" s="148" t="s">
        <v>39</v>
      </c>
      <c r="B7" s="148"/>
      <c r="C7" s="148"/>
      <c r="D7" s="148"/>
      <c r="E7" s="148"/>
      <c r="F7" s="148"/>
      <c r="H7"/>
      <c r="I7"/>
      <c r="J7"/>
      <c r="K7"/>
      <c r="L7"/>
      <c r="M7"/>
      <c r="N7"/>
      <c r="O7"/>
      <c r="P7" s="2"/>
    </row>
    <row r="8" spans="1:16" s="87" customFormat="1" ht="15.75" customHeight="1" x14ac:dyDescent="0.35">
      <c r="A8" s="148" t="s">
        <v>38</v>
      </c>
      <c r="B8" s="148"/>
      <c r="C8" s="148"/>
      <c r="D8" s="148"/>
      <c r="E8" s="148"/>
      <c r="F8" s="148"/>
      <c r="H8"/>
      <c r="I8"/>
      <c r="J8"/>
      <c r="K8"/>
      <c r="L8"/>
      <c r="M8"/>
      <c r="N8"/>
      <c r="O8"/>
      <c r="P8" s="2"/>
    </row>
    <row r="9" spans="1:16" s="87" customFormat="1" ht="15.75" customHeight="1" x14ac:dyDescent="0.35">
      <c r="A9" s="88" t="s">
        <v>77</v>
      </c>
      <c r="B9" s="88"/>
      <c r="C9" s="88"/>
      <c r="D9" s="88"/>
      <c r="E9" s="88"/>
      <c r="F9" s="88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9" t="s">
        <v>37</v>
      </c>
      <c r="B11" s="151" t="s">
        <v>36</v>
      </c>
      <c r="C11" s="151"/>
      <c r="D11" s="151"/>
      <c r="E11" s="152" t="s">
        <v>35</v>
      </c>
      <c r="F11" s="152" t="s">
        <v>34</v>
      </c>
    </row>
    <row r="12" spans="1:16" ht="15" customHeight="1" x14ac:dyDescent="0.35">
      <c r="A12" s="150"/>
      <c r="B12" s="86" t="s">
        <v>33</v>
      </c>
      <c r="C12" s="86" t="s">
        <v>32</v>
      </c>
      <c r="D12" s="86" t="s">
        <v>31</v>
      </c>
      <c r="E12" s="150"/>
      <c r="F12" s="150"/>
    </row>
    <row r="13" spans="1:16" ht="18" customHeight="1" x14ac:dyDescent="0.35">
      <c r="A13" s="85" t="s">
        <v>30</v>
      </c>
      <c r="B13" s="84">
        <f t="shared" ref="B13:B44" si="0">C13+D13</f>
        <v>191773</v>
      </c>
      <c r="C13" s="84">
        <f>C16+C62+C68</f>
        <v>97680</v>
      </c>
      <c r="D13" s="84">
        <f>D16+D62+D68</f>
        <v>94093</v>
      </c>
      <c r="E13" s="84">
        <f>E16+E62+E68</f>
        <v>14839</v>
      </c>
      <c r="F13" s="84">
        <f>F16+F62+F68</f>
        <v>1412</v>
      </c>
    </row>
    <row r="14" spans="1:16" ht="18" customHeight="1" x14ac:dyDescent="0.35">
      <c r="A14" s="42" t="s">
        <v>3</v>
      </c>
      <c r="B14" s="41">
        <f t="shared" si="0"/>
        <v>161018</v>
      </c>
      <c r="C14" s="41">
        <f t="shared" ref="C14:F15" si="1">C17+C66+C71</f>
        <v>81580</v>
      </c>
      <c r="D14" s="41">
        <f t="shared" si="1"/>
        <v>79438</v>
      </c>
      <c r="E14" s="41">
        <f t="shared" si="1"/>
        <v>11066</v>
      </c>
      <c r="F14" s="41">
        <f t="shared" si="1"/>
        <v>1052</v>
      </c>
    </row>
    <row r="15" spans="1:16" ht="18" customHeight="1" x14ac:dyDescent="0.35">
      <c r="A15" s="40" t="s">
        <v>2</v>
      </c>
      <c r="B15" s="39">
        <f t="shared" si="0"/>
        <v>30755</v>
      </c>
      <c r="C15" s="39">
        <f t="shared" si="1"/>
        <v>16100</v>
      </c>
      <c r="D15" s="39">
        <f t="shared" si="1"/>
        <v>14655</v>
      </c>
      <c r="E15" s="39">
        <f t="shared" si="1"/>
        <v>3773</v>
      </c>
      <c r="F15" s="39">
        <f t="shared" si="1"/>
        <v>360</v>
      </c>
    </row>
    <row r="16" spans="1:16" ht="18" customHeight="1" x14ac:dyDescent="0.35">
      <c r="A16" s="45" t="s">
        <v>29</v>
      </c>
      <c r="B16" s="44">
        <f t="shared" si="0"/>
        <v>183256</v>
      </c>
      <c r="C16" s="44">
        <f>C17+C18</f>
        <v>92782</v>
      </c>
      <c r="D16" s="44">
        <f>D17+D18</f>
        <v>90474</v>
      </c>
      <c r="E16" s="44">
        <f>E17+E18</f>
        <v>13560</v>
      </c>
      <c r="F16" s="43">
        <f>F17+F18</f>
        <v>1359</v>
      </c>
    </row>
    <row r="17" spans="1:6" ht="18" customHeight="1" x14ac:dyDescent="0.35">
      <c r="A17" s="42" t="s">
        <v>3</v>
      </c>
      <c r="B17" s="41">
        <f t="shared" si="0"/>
        <v>159434</v>
      </c>
      <c r="C17" s="41">
        <f t="shared" ref="C17:F18" si="2">C20+C50+C57</f>
        <v>80839</v>
      </c>
      <c r="D17" s="41">
        <f t="shared" si="2"/>
        <v>78595</v>
      </c>
      <c r="E17" s="41">
        <f t="shared" si="2"/>
        <v>11014</v>
      </c>
      <c r="F17" s="41">
        <f t="shared" si="2"/>
        <v>1040</v>
      </c>
    </row>
    <row r="18" spans="1:6" ht="18" customHeight="1" x14ac:dyDescent="0.35">
      <c r="A18" s="40" t="s">
        <v>2</v>
      </c>
      <c r="B18" s="39">
        <f t="shared" si="0"/>
        <v>23822</v>
      </c>
      <c r="C18" s="39">
        <f t="shared" si="2"/>
        <v>11943</v>
      </c>
      <c r="D18" s="39">
        <f t="shared" si="2"/>
        <v>11879</v>
      </c>
      <c r="E18" s="39">
        <f t="shared" si="2"/>
        <v>2546</v>
      </c>
      <c r="F18" s="39">
        <f t="shared" si="2"/>
        <v>319</v>
      </c>
    </row>
    <row r="19" spans="1:6" ht="18" customHeight="1" x14ac:dyDescent="0.35">
      <c r="A19" s="83" t="s">
        <v>28</v>
      </c>
      <c r="B19" s="82">
        <f t="shared" si="0"/>
        <v>133003</v>
      </c>
      <c r="C19" s="82">
        <f>C20+C21</f>
        <v>65596</v>
      </c>
      <c r="D19" s="82">
        <f>D20+D21</f>
        <v>67407</v>
      </c>
      <c r="E19" s="82">
        <f>E20+E21</f>
        <v>7752</v>
      </c>
      <c r="F19" s="81">
        <f>F20+F21</f>
        <v>1124</v>
      </c>
    </row>
    <row r="20" spans="1:6" ht="18" customHeight="1" x14ac:dyDescent="0.35">
      <c r="A20" s="42" t="s">
        <v>3</v>
      </c>
      <c r="B20" s="41">
        <f t="shared" si="0"/>
        <v>115760</v>
      </c>
      <c r="C20" s="41">
        <f t="shared" ref="C20:F21" si="3">C25+C31+C37+C43</f>
        <v>57187</v>
      </c>
      <c r="D20" s="41">
        <f t="shared" si="3"/>
        <v>58573</v>
      </c>
      <c r="E20" s="41">
        <f t="shared" si="3"/>
        <v>6580</v>
      </c>
      <c r="F20" s="80">
        <f t="shared" si="3"/>
        <v>889</v>
      </c>
    </row>
    <row r="21" spans="1:6" ht="18" customHeight="1" x14ac:dyDescent="0.35">
      <c r="A21" s="79" t="s">
        <v>2</v>
      </c>
      <c r="B21" s="78">
        <f t="shared" si="0"/>
        <v>17243</v>
      </c>
      <c r="C21" s="78">
        <f t="shared" si="3"/>
        <v>8409</v>
      </c>
      <c r="D21" s="78">
        <f t="shared" si="3"/>
        <v>8834</v>
      </c>
      <c r="E21" s="78">
        <f t="shared" si="3"/>
        <v>1172</v>
      </c>
      <c r="F21" s="77">
        <f t="shared" si="3"/>
        <v>235</v>
      </c>
    </row>
    <row r="22" spans="1:6" ht="18" customHeight="1" x14ac:dyDescent="0.35">
      <c r="A22" s="69" t="s">
        <v>27</v>
      </c>
      <c r="B22" s="68">
        <f t="shared" si="0"/>
        <v>3304</v>
      </c>
      <c r="C22" s="68">
        <f>C23+C24</f>
        <v>1629</v>
      </c>
      <c r="D22" s="68">
        <f>D23+D24</f>
        <v>1675</v>
      </c>
      <c r="E22" s="68">
        <f>E23+E24</f>
        <v>126</v>
      </c>
      <c r="F22" s="67">
        <f>F23+F24</f>
        <v>51</v>
      </c>
    </row>
    <row r="23" spans="1:6" ht="18" customHeight="1" x14ac:dyDescent="0.35">
      <c r="A23" s="72" t="s">
        <v>23</v>
      </c>
      <c r="B23" s="49">
        <f t="shared" si="0"/>
        <v>3304</v>
      </c>
      <c r="C23" s="49">
        <v>1629</v>
      </c>
      <c r="D23" s="49">
        <v>1675</v>
      </c>
      <c r="E23" s="49">
        <v>126</v>
      </c>
      <c r="F23" s="9">
        <v>51</v>
      </c>
    </row>
    <row r="24" spans="1:6" ht="18" customHeight="1" x14ac:dyDescent="0.35">
      <c r="A24" s="76" t="s">
        <v>22</v>
      </c>
      <c r="B24" s="75">
        <f t="shared" si="0"/>
        <v>0</v>
      </c>
      <c r="C24" s="74">
        <v>0</v>
      </c>
      <c r="D24" s="74">
        <v>0</v>
      </c>
      <c r="E24" s="74">
        <v>0</v>
      </c>
      <c r="F24" s="73">
        <v>0</v>
      </c>
    </row>
    <row r="25" spans="1:6" ht="18" customHeight="1" x14ac:dyDescent="0.35">
      <c r="A25" s="36" t="s">
        <v>3</v>
      </c>
      <c r="B25" s="11">
        <f t="shared" si="0"/>
        <v>408</v>
      </c>
      <c r="C25" s="11">
        <v>202</v>
      </c>
      <c r="D25" s="11">
        <v>206</v>
      </c>
      <c r="E25" s="11">
        <v>20</v>
      </c>
      <c r="F25" s="9">
        <v>7</v>
      </c>
    </row>
    <row r="26" spans="1:6" ht="18" customHeight="1" x14ac:dyDescent="0.35">
      <c r="A26" s="58" t="s">
        <v>2</v>
      </c>
      <c r="B26" s="57">
        <f t="shared" si="0"/>
        <v>2896</v>
      </c>
      <c r="C26" s="57">
        <v>1427</v>
      </c>
      <c r="D26" s="57">
        <v>1469</v>
      </c>
      <c r="E26" s="57">
        <v>106</v>
      </c>
      <c r="F26" s="56">
        <v>44</v>
      </c>
    </row>
    <row r="27" spans="1:6" ht="18" customHeight="1" x14ac:dyDescent="0.35">
      <c r="A27" s="69" t="s">
        <v>26</v>
      </c>
      <c r="B27" s="68">
        <f t="shared" si="0"/>
        <v>21797</v>
      </c>
      <c r="C27" s="68">
        <f>C28+C29+C30</f>
        <v>10921</v>
      </c>
      <c r="D27" s="68">
        <f>D28+D29+D30</f>
        <v>10876</v>
      </c>
      <c r="E27" s="68">
        <f>E28+E29+E30</f>
        <v>1282</v>
      </c>
      <c r="F27" s="67">
        <f>F28+F29+F30</f>
        <v>417</v>
      </c>
    </row>
    <row r="28" spans="1:6" ht="18" customHeight="1" x14ac:dyDescent="0.35">
      <c r="A28" s="72" t="s">
        <v>25</v>
      </c>
      <c r="B28" s="49">
        <f t="shared" si="0"/>
        <v>21102</v>
      </c>
      <c r="C28" s="49">
        <v>10569</v>
      </c>
      <c r="D28" s="49">
        <v>10533</v>
      </c>
      <c r="E28" s="49">
        <v>1187</v>
      </c>
      <c r="F28" s="9">
        <v>337</v>
      </c>
    </row>
    <row r="29" spans="1:6" ht="18" customHeight="1" x14ac:dyDescent="0.35">
      <c r="A29" s="76" t="s">
        <v>22</v>
      </c>
      <c r="B29" s="75">
        <f t="shared" si="0"/>
        <v>0</v>
      </c>
      <c r="C29" s="74">
        <v>0</v>
      </c>
      <c r="D29" s="74">
        <v>0</v>
      </c>
      <c r="E29" s="74">
        <v>0</v>
      </c>
      <c r="F29" s="73">
        <v>0</v>
      </c>
    </row>
    <row r="30" spans="1:6" ht="18" customHeight="1" x14ac:dyDescent="0.35">
      <c r="A30" s="72" t="s">
        <v>21</v>
      </c>
      <c r="B30" s="49">
        <f t="shared" si="0"/>
        <v>695</v>
      </c>
      <c r="C30" s="49">
        <v>352</v>
      </c>
      <c r="D30" s="49">
        <v>343</v>
      </c>
      <c r="E30" s="49">
        <v>95</v>
      </c>
      <c r="F30" s="9">
        <v>80</v>
      </c>
    </row>
    <row r="31" spans="1:6" ht="18" customHeight="1" x14ac:dyDescent="0.35">
      <c r="A31" s="71" t="s">
        <v>3</v>
      </c>
      <c r="B31" s="66">
        <f t="shared" si="0"/>
        <v>17495</v>
      </c>
      <c r="C31" s="66">
        <v>8833</v>
      </c>
      <c r="D31" s="66">
        <v>8662</v>
      </c>
      <c r="E31" s="66">
        <v>976</v>
      </c>
      <c r="F31" s="70">
        <v>309</v>
      </c>
    </row>
    <row r="32" spans="1:6" ht="18" customHeight="1" x14ac:dyDescent="0.35">
      <c r="A32" s="31" t="s">
        <v>2</v>
      </c>
      <c r="B32" s="30">
        <f t="shared" si="0"/>
        <v>4302</v>
      </c>
      <c r="C32" s="30">
        <v>2088</v>
      </c>
      <c r="D32" s="30">
        <v>2214</v>
      </c>
      <c r="E32" s="30">
        <v>306</v>
      </c>
      <c r="F32" s="27">
        <v>108</v>
      </c>
    </row>
    <row r="33" spans="1:6" ht="18" customHeight="1" x14ac:dyDescent="0.35">
      <c r="A33" s="69" t="s">
        <v>24</v>
      </c>
      <c r="B33" s="68">
        <f t="shared" si="0"/>
        <v>72904</v>
      </c>
      <c r="C33" s="68">
        <f>C34+C35+C36</f>
        <v>35509</v>
      </c>
      <c r="D33" s="68">
        <f>D34+D35+D36</f>
        <v>37395</v>
      </c>
      <c r="E33" s="68">
        <f>E34+E35+E36</f>
        <v>3293</v>
      </c>
      <c r="F33" s="67">
        <f>F34+F35+F36</f>
        <v>478</v>
      </c>
    </row>
    <row r="34" spans="1:6" ht="18" customHeight="1" x14ac:dyDescent="0.35">
      <c r="A34" s="72" t="s">
        <v>23</v>
      </c>
      <c r="B34" s="49">
        <f t="shared" si="0"/>
        <v>72714</v>
      </c>
      <c r="C34" s="49">
        <v>35411</v>
      </c>
      <c r="D34" s="49">
        <v>37303</v>
      </c>
      <c r="E34" s="49">
        <v>3271</v>
      </c>
      <c r="F34" s="9">
        <v>458</v>
      </c>
    </row>
    <row r="35" spans="1:6" ht="18" customHeight="1" x14ac:dyDescent="0.35">
      <c r="A35" s="76" t="s">
        <v>22</v>
      </c>
      <c r="B35" s="75">
        <f t="shared" si="0"/>
        <v>0</v>
      </c>
      <c r="C35" s="74">
        <v>0</v>
      </c>
      <c r="D35" s="74">
        <v>0</v>
      </c>
      <c r="E35" s="74">
        <v>0</v>
      </c>
      <c r="F35" s="73">
        <v>0</v>
      </c>
    </row>
    <row r="36" spans="1:6" ht="18" customHeight="1" x14ac:dyDescent="0.35">
      <c r="A36" s="72" t="s">
        <v>21</v>
      </c>
      <c r="B36" s="49">
        <f t="shared" si="0"/>
        <v>190</v>
      </c>
      <c r="C36" s="49">
        <v>98</v>
      </c>
      <c r="D36" s="49">
        <v>92</v>
      </c>
      <c r="E36" s="49">
        <v>22</v>
      </c>
      <c r="F36" s="9">
        <v>20</v>
      </c>
    </row>
    <row r="37" spans="1:6" ht="18" customHeight="1" x14ac:dyDescent="0.35">
      <c r="A37" s="71" t="s">
        <v>3</v>
      </c>
      <c r="B37" s="66">
        <f t="shared" si="0"/>
        <v>65527</v>
      </c>
      <c r="C37" s="66">
        <v>31961</v>
      </c>
      <c r="D37" s="66">
        <v>33566</v>
      </c>
      <c r="E37" s="66">
        <v>2886</v>
      </c>
      <c r="F37" s="70">
        <v>422</v>
      </c>
    </row>
    <row r="38" spans="1:6" ht="18" customHeight="1" x14ac:dyDescent="0.35">
      <c r="A38" s="31" t="s">
        <v>2</v>
      </c>
      <c r="B38" s="30">
        <f t="shared" si="0"/>
        <v>7377</v>
      </c>
      <c r="C38" s="30">
        <v>3548</v>
      </c>
      <c r="D38" s="30">
        <v>3829</v>
      </c>
      <c r="E38" s="30">
        <v>407</v>
      </c>
      <c r="F38" s="27">
        <v>56</v>
      </c>
    </row>
    <row r="39" spans="1:6" ht="18" customHeight="1" x14ac:dyDescent="0.35">
      <c r="A39" s="69" t="s">
        <v>20</v>
      </c>
      <c r="B39" s="68">
        <f t="shared" si="0"/>
        <v>34998</v>
      </c>
      <c r="C39" s="68">
        <f>C40+C41+C42</f>
        <v>17537</v>
      </c>
      <c r="D39" s="68">
        <f>D40+D41+D42</f>
        <v>17461</v>
      </c>
      <c r="E39" s="68">
        <f>E40+E41+E42</f>
        <v>3051</v>
      </c>
      <c r="F39" s="67">
        <f>F40+F41+F42</f>
        <v>178</v>
      </c>
    </row>
    <row r="40" spans="1:6" ht="18" customHeight="1" x14ac:dyDescent="0.35">
      <c r="A40" s="61" t="s">
        <v>19</v>
      </c>
      <c r="B40" s="11">
        <f t="shared" si="0"/>
        <v>21904</v>
      </c>
      <c r="C40" s="49">
        <v>10969</v>
      </c>
      <c r="D40" s="49">
        <v>10935</v>
      </c>
      <c r="E40" s="11">
        <v>2013</v>
      </c>
      <c r="F40" s="9">
        <v>89</v>
      </c>
    </row>
    <row r="41" spans="1:6" ht="18" customHeight="1" x14ac:dyDescent="0.35">
      <c r="A41" s="62" t="s">
        <v>18</v>
      </c>
      <c r="B41" s="50">
        <f t="shared" si="0"/>
        <v>3317</v>
      </c>
      <c r="C41" s="50">
        <v>1632</v>
      </c>
      <c r="D41" s="50">
        <v>1685</v>
      </c>
      <c r="E41" s="50">
        <v>212</v>
      </c>
      <c r="F41" s="46">
        <v>59</v>
      </c>
    </row>
    <row r="42" spans="1:6" ht="18" customHeight="1" x14ac:dyDescent="0.35">
      <c r="A42" s="61" t="s">
        <v>17</v>
      </c>
      <c r="B42" s="49">
        <f t="shared" si="0"/>
        <v>9777</v>
      </c>
      <c r="C42" s="49">
        <v>4936</v>
      </c>
      <c r="D42" s="49">
        <v>4841</v>
      </c>
      <c r="E42" s="49">
        <v>826</v>
      </c>
      <c r="F42" s="9">
        <v>30</v>
      </c>
    </row>
    <row r="43" spans="1:6" ht="18" customHeight="1" x14ac:dyDescent="0.35">
      <c r="A43" s="62" t="s">
        <v>3</v>
      </c>
      <c r="B43" s="66">
        <f t="shared" si="0"/>
        <v>32330</v>
      </c>
      <c r="C43" s="47">
        <v>16191</v>
      </c>
      <c r="D43" s="47">
        <v>16139</v>
      </c>
      <c r="E43" s="47">
        <v>2698</v>
      </c>
      <c r="F43" s="46">
        <v>151</v>
      </c>
    </row>
    <row r="44" spans="1:6" ht="18" customHeight="1" x14ac:dyDescent="0.35">
      <c r="A44" s="31" t="s">
        <v>2</v>
      </c>
      <c r="B44" s="30">
        <f t="shared" si="0"/>
        <v>2668</v>
      </c>
      <c r="C44" s="30">
        <v>1346</v>
      </c>
      <c r="D44" s="30">
        <v>1322</v>
      </c>
      <c r="E44" s="30">
        <v>353</v>
      </c>
      <c r="F44" s="27">
        <v>27</v>
      </c>
    </row>
    <row r="45" spans="1:6" ht="18" customHeight="1" x14ac:dyDescent="0.35">
      <c r="A45" s="65" t="s">
        <v>16</v>
      </c>
      <c r="B45" s="64">
        <f t="shared" ref="B45:B76" si="4">C45+D45</f>
        <v>28798</v>
      </c>
      <c r="C45" s="64">
        <f>C46+C47+C48+C49</f>
        <v>15503</v>
      </c>
      <c r="D45" s="64">
        <f>D46+D47+D48+D49</f>
        <v>13295</v>
      </c>
      <c r="E45" s="64">
        <f>E46+E47+E48+E49</f>
        <v>3044</v>
      </c>
      <c r="F45" s="63">
        <f>F46+F47+F48+F49</f>
        <v>186</v>
      </c>
    </row>
    <row r="46" spans="1:6" ht="18" customHeight="1" x14ac:dyDescent="0.35">
      <c r="A46" s="61" t="s">
        <v>9</v>
      </c>
      <c r="B46" s="59">
        <f t="shared" si="4"/>
        <v>18035</v>
      </c>
      <c r="C46" s="49">
        <v>10169</v>
      </c>
      <c r="D46" s="49">
        <v>7866</v>
      </c>
      <c r="E46" s="49">
        <v>1717</v>
      </c>
      <c r="F46" s="9">
        <v>143</v>
      </c>
    </row>
    <row r="47" spans="1:6" ht="18" customHeight="1" x14ac:dyDescent="0.35">
      <c r="A47" s="62" t="s">
        <v>8</v>
      </c>
      <c r="B47" s="47">
        <f t="shared" si="4"/>
        <v>8595</v>
      </c>
      <c r="C47" s="50">
        <v>4033</v>
      </c>
      <c r="D47" s="50">
        <v>4562</v>
      </c>
      <c r="E47" s="50">
        <v>1039</v>
      </c>
      <c r="F47" s="46">
        <v>36</v>
      </c>
    </row>
    <row r="48" spans="1:6" ht="18" customHeight="1" x14ac:dyDescent="0.35">
      <c r="A48" s="61" t="s">
        <v>15</v>
      </c>
      <c r="B48" s="11">
        <f t="shared" si="4"/>
        <v>1760</v>
      </c>
      <c r="C48" s="11">
        <v>993</v>
      </c>
      <c r="D48" s="11">
        <v>767</v>
      </c>
      <c r="E48" s="11">
        <v>221</v>
      </c>
      <c r="F48" s="9">
        <v>4</v>
      </c>
    </row>
    <row r="49" spans="1:6" ht="18" customHeight="1" x14ac:dyDescent="0.35">
      <c r="A49" s="48" t="s">
        <v>7</v>
      </c>
      <c r="B49" s="47">
        <f t="shared" si="4"/>
        <v>408</v>
      </c>
      <c r="C49" s="50">
        <v>308</v>
      </c>
      <c r="D49" s="60">
        <v>100</v>
      </c>
      <c r="E49" s="47">
        <v>67</v>
      </c>
      <c r="F49" s="46">
        <v>3</v>
      </c>
    </row>
    <row r="50" spans="1:6" ht="18" customHeight="1" x14ac:dyDescent="0.35">
      <c r="A50" s="36" t="s">
        <v>3</v>
      </c>
      <c r="B50" s="59">
        <f t="shared" si="4"/>
        <v>24094</v>
      </c>
      <c r="C50" s="59">
        <v>13076</v>
      </c>
      <c r="D50" s="59">
        <v>11018</v>
      </c>
      <c r="E50" s="59">
        <v>2172</v>
      </c>
      <c r="F50" s="9">
        <v>115</v>
      </c>
    </row>
    <row r="51" spans="1:6" ht="18" customHeight="1" x14ac:dyDescent="0.35">
      <c r="A51" s="58" t="s">
        <v>2</v>
      </c>
      <c r="B51" s="57">
        <f t="shared" si="4"/>
        <v>4704</v>
      </c>
      <c r="C51" s="57">
        <v>2427</v>
      </c>
      <c r="D51" s="57">
        <v>2277</v>
      </c>
      <c r="E51" s="57">
        <v>872</v>
      </c>
      <c r="F51" s="56">
        <v>71</v>
      </c>
    </row>
    <row r="52" spans="1:6" ht="18" customHeight="1" x14ac:dyDescent="0.35">
      <c r="A52" s="55" t="s">
        <v>14</v>
      </c>
      <c r="B52" s="54">
        <f t="shared" si="4"/>
        <v>21455</v>
      </c>
      <c r="C52" s="54">
        <f>C54+C55+C56</f>
        <v>11683</v>
      </c>
      <c r="D52" s="54">
        <f>D54+D55+D56</f>
        <v>9772</v>
      </c>
      <c r="E52" s="54">
        <f>E54+E55+E56</f>
        <v>2764</v>
      </c>
      <c r="F52" s="53">
        <f>F57+F58</f>
        <v>49</v>
      </c>
    </row>
    <row r="53" spans="1:6" ht="18" customHeight="1" x14ac:dyDescent="0.35">
      <c r="A53" s="48" t="s">
        <v>5</v>
      </c>
      <c r="B53" s="47">
        <f t="shared" si="4"/>
        <v>20339</v>
      </c>
      <c r="C53" s="50">
        <f>C54+C55</f>
        <v>11110</v>
      </c>
      <c r="D53" s="47">
        <f>D54+D55</f>
        <v>9229</v>
      </c>
      <c r="E53" s="47">
        <f>E54+E55</f>
        <v>2126</v>
      </c>
      <c r="F53" s="46">
        <f>F54+F55</f>
        <v>48</v>
      </c>
    </row>
    <row r="54" spans="1:6" ht="18" customHeight="1" x14ac:dyDescent="0.35">
      <c r="A54" s="52" t="s">
        <v>13</v>
      </c>
      <c r="B54" s="11">
        <f t="shared" si="4"/>
        <v>895</v>
      </c>
      <c r="C54" s="49">
        <v>708</v>
      </c>
      <c r="D54" s="11">
        <v>187</v>
      </c>
      <c r="E54" s="11">
        <v>161</v>
      </c>
      <c r="F54" s="9">
        <v>3</v>
      </c>
    </row>
    <row r="55" spans="1:6" ht="18" customHeight="1" x14ac:dyDescent="0.35">
      <c r="A55" s="51" t="s">
        <v>12</v>
      </c>
      <c r="B55" s="47">
        <f t="shared" si="4"/>
        <v>19444</v>
      </c>
      <c r="C55" s="50">
        <v>10402</v>
      </c>
      <c r="D55" s="47">
        <v>9042</v>
      </c>
      <c r="E55" s="47">
        <v>1965</v>
      </c>
      <c r="F55" s="46">
        <v>45</v>
      </c>
    </row>
    <row r="56" spans="1:6" ht="18" customHeight="1" x14ac:dyDescent="0.35">
      <c r="A56" s="36" t="s">
        <v>4</v>
      </c>
      <c r="B56" s="11">
        <f t="shared" si="4"/>
        <v>1116</v>
      </c>
      <c r="C56" s="49">
        <v>573</v>
      </c>
      <c r="D56" s="11">
        <v>543</v>
      </c>
      <c r="E56" s="11">
        <v>638</v>
      </c>
      <c r="F56" s="9">
        <v>30</v>
      </c>
    </row>
    <row r="57" spans="1:6" ht="18" customHeight="1" x14ac:dyDescent="0.35">
      <c r="A57" s="48" t="s">
        <v>3</v>
      </c>
      <c r="B57" s="47">
        <f t="shared" si="4"/>
        <v>19580</v>
      </c>
      <c r="C57" s="47">
        <v>10576</v>
      </c>
      <c r="D57" s="47">
        <v>9004</v>
      </c>
      <c r="E57" s="47">
        <v>2262</v>
      </c>
      <c r="F57" s="46">
        <v>36</v>
      </c>
    </row>
    <row r="58" spans="1:6" ht="18" customHeight="1" x14ac:dyDescent="0.35">
      <c r="A58" s="31" t="s">
        <v>2</v>
      </c>
      <c r="B58" s="29">
        <f t="shared" si="4"/>
        <v>1875</v>
      </c>
      <c r="C58" s="30">
        <v>1107</v>
      </c>
      <c r="D58" s="30">
        <v>768</v>
      </c>
      <c r="E58" s="30">
        <v>502</v>
      </c>
      <c r="F58" s="27">
        <v>13</v>
      </c>
    </row>
    <row r="59" spans="1:6" ht="18" customHeight="1" x14ac:dyDescent="0.35">
      <c r="A59" s="45" t="s">
        <v>11</v>
      </c>
      <c r="B59" s="44">
        <f t="shared" si="4"/>
        <v>8517</v>
      </c>
      <c r="C59" s="44">
        <f>C60+C61</f>
        <v>4898</v>
      </c>
      <c r="D59" s="44">
        <f>D60+D61</f>
        <v>3619</v>
      </c>
      <c r="E59" s="44">
        <f>E60+E61</f>
        <v>1279</v>
      </c>
      <c r="F59" s="43">
        <f>F60+F61</f>
        <v>53</v>
      </c>
    </row>
    <row r="60" spans="1:6" ht="18" customHeight="1" x14ac:dyDescent="0.35">
      <c r="A60" s="42" t="s">
        <v>3</v>
      </c>
      <c r="B60" s="41">
        <f t="shared" si="4"/>
        <v>1584</v>
      </c>
      <c r="C60" s="41">
        <f t="shared" ref="C60:F61" si="5">C66+C71</f>
        <v>741</v>
      </c>
      <c r="D60" s="41">
        <f t="shared" si="5"/>
        <v>843</v>
      </c>
      <c r="E60" s="41">
        <f t="shared" si="5"/>
        <v>52</v>
      </c>
      <c r="F60" s="41">
        <f t="shared" si="5"/>
        <v>12</v>
      </c>
    </row>
    <row r="61" spans="1:6" ht="18" customHeight="1" x14ac:dyDescent="0.35">
      <c r="A61" s="40" t="s">
        <v>2</v>
      </c>
      <c r="B61" s="39">
        <f t="shared" si="4"/>
        <v>6933</v>
      </c>
      <c r="C61" s="39">
        <f t="shared" si="5"/>
        <v>4157</v>
      </c>
      <c r="D61" s="39">
        <f t="shared" si="5"/>
        <v>2776</v>
      </c>
      <c r="E61" s="39">
        <f t="shared" si="5"/>
        <v>1227</v>
      </c>
      <c r="F61" s="39">
        <f t="shared" si="5"/>
        <v>41</v>
      </c>
    </row>
    <row r="62" spans="1:6" x14ac:dyDescent="0.35">
      <c r="A62" s="26" t="s">
        <v>10</v>
      </c>
      <c r="B62" s="25">
        <f t="shared" si="4"/>
        <v>1858</v>
      </c>
      <c r="C62" s="25">
        <f>C63+C64+C65</f>
        <v>893</v>
      </c>
      <c r="D62" s="25">
        <f>D63+D64+D65</f>
        <v>965</v>
      </c>
      <c r="E62" s="25">
        <f>E63+E64+E65</f>
        <v>169</v>
      </c>
      <c r="F62" s="24">
        <f>F66+F67</f>
        <v>8</v>
      </c>
    </row>
    <row r="63" spans="1:6" x14ac:dyDescent="0.35">
      <c r="A63" s="38" t="s">
        <v>9</v>
      </c>
      <c r="B63" s="21">
        <f t="shared" si="4"/>
        <v>1530</v>
      </c>
      <c r="C63" s="22">
        <v>716</v>
      </c>
      <c r="D63" s="21">
        <v>814</v>
      </c>
      <c r="E63" s="20">
        <v>26</v>
      </c>
      <c r="F63" s="19">
        <v>7</v>
      </c>
    </row>
    <row r="64" spans="1:6" x14ac:dyDescent="0.35">
      <c r="A64" s="33" t="s">
        <v>8</v>
      </c>
      <c r="B64" s="37">
        <f t="shared" si="4"/>
        <v>328</v>
      </c>
      <c r="C64" s="37">
        <v>177</v>
      </c>
      <c r="D64" s="37">
        <v>151</v>
      </c>
      <c r="E64" s="14">
        <v>143</v>
      </c>
      <c r="F64" s="13">
        <v>1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1530</v>
      </c>
      <c r="C66" s="15">
        <v>716</v>
      </c>
      <c r="D66" s="15">
        <v>814</v>
      </c>
      <c r="E66" s="32">
        <v>26</v>
      </c>
      <c r="F66" s="13">
        <v>7</v>
      </c>
    </row>
    <row r="67" spans="1:15" x14ac:dyDescent="0.35">
      <c r="A67" s="31" t="s">
        <v>2</v>
      </c>
      <c r="B67" s="29">
        <f t="shared" si="4"/>
        <v>328</v>
      </c>
      <c r="C67" s="30">
        <v>177</v>
      </c>
      <c r="D67" s="29">
        <v>151</v>
      </c>
      <c r="E67" s="28">
        <v>143</v>
      </c>
      <c r="F67" s="27">
        <v>1</v>
      </c>
    </row>
    <row r="68" spans="1:15" x14ac:dyDescent="0.35">
      <c r="A68" s="26" t="s">
        <v>6</v>
      </c>
      <c r="B68" s="25">
        <f t="shared" si="4"/>
        <v>6659</v>
      </c>
      <c r="C68" s="25">
        <f>C69+C70</f>
        <v>4005</v>
      </c>
      <c r="D68" s="25">
        <f>D69+D70</f>
        <v>2654</v>
      </c>
      <c r="E68" s="25">
        <f>E71+E72</f>
        <v>1110</v>
      </c>
      <c r="F68" s="24">
        <f>F71+F72</f>
        <v>45</v>
      </c>
    </row>
    <row r="69" spans="1:15" x14ac:dyDescent="0.35">
      <c r="A69" s="23" t="s">
        <v>5</v>
      </c>
      <c r="B69" s="21">
        <f t="shared" si="4"/>
        <v>5371</v>
      </c>
      <c r="C69" s="22">
        <v>3195</v>
      </c>
      <c r="D69" s="21">
        <v>2176</v>
      </c>
      <c r="E69" s="20">
        <v>904</v>
      </c>
      <c r="F69" s="19">
        <v>36</v>
      </c>
      <c r="G69" s="18"/>
    </row>
    <row r="70" spans="1:15" x14ac:dyDescent="0.35">
      <c r="A70" s="17" t="s">
        <v>4</v>
      </c>
      <c r="B70" s="15">
        <f t="shared" si="4"/>
        <v>1288</v>
      </c>
      <c r="C70" s="16">
        <v>810</v>
      </c>
      <c r="D70" s="15">
        <v>478</v>
      </c>
      <c r="E70" s="14">
        <v>206</v>
      </c>
      <c r="F70" s="13">
        <v>20</v>
      </c>
    </row>
    <row r="71" spans="1:15" x14ac:dyDescent="0.35">
      <c r="A71" s="12" t="s">
        <v>3</v>
      </c>
      <c r="B71" s="11">
        <f t="shared" si="4"/>
        <v>54</v>
      </c>
      <c r="C71" s="11">
        <v>25</v>
      </c>
      <c r="D71" s="11">
        <v>29</v>
      </c>
      <c r="E71" s="10">
        <v>26</v>
      </c>
      <c r="F71" s="9">
        <v>5</v>
      </c>
    </row>
    <row r="72" spans="1:15" x14ac:dyDescent="0.35">
      <c r="A72" s="8" t="s">
        <v>2</v>
      </c>
      <c r="B72" s="6">
        <f t="shared" si="4"/>
        <v>6605</v>
      </c>
      <c r="C72" s="7">
        <v>3980</v>
      </c>
      <c r="D72" s="6">
        <v>2625</v>
      </c>
      <c r="E72" s="5">
        <v>1084</v>
      </c>
      <c r="F72" s="4">
        <v>40</v>
      </c>
    </row>
    <row r="73" spans="1:15" x14ac:dyDescent="0.35">
      <c r="F73" s="3" t="s">
        <v>1</v>
      </c>
    </row>
    <row r="74" spans="1:15" ht="41.1" customHeight="1" x14ac:dyDescent="0.35">
      <c r="A74" s="147" t="s">
        <v>0</v>
      </c>
      <c r="B74" s="147"/>
      <c r="C74" s="147"/>
      <c r="D74" s="147"/>
      <c r="E74" s="147"/>
      <c r="F74" s="147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75F3-DD0A-47B8-ABC8-683B1FEC3F07}">
  <sheetPr>
    <tabColor rgb="FFD4C19C"/>
    <pageSetUpPr fitToPage="1"/>
  </sheetPr>
  <dimension ref="A1:K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3">
        <v>27</v>
      </c>
      <c r="C1" s="93">
        <v>28</v>
      </c>
      <c r="D1" s="93" t="e">
        <v>#VALUE!</v>
      </c>
      <c r="E1" s="93">
        <v>29</v>
      </c>
      <c r="F1" s="93" t="e">
        <v>#VALUE!</v>
      </c>
    </row>
    <row r="3" spans="1:10" ht="13.5" customHeight="1" x14ac:dyDescent="0.35">
      <c r="C3" s="89"/>
      <c r="D3" s="89"/>
      <c r="E3" s="89"/>
      <c r="F3" s="89" t="s">
        <v>41</v>
      </c>
    </row>
    <row r="4" spans="1:10" ht="3" customHeight="1" x14ac:dyDescent="0.35">
      <c r="C4" s="89"/>
      <c r="D4" s="89"/>
      <c r="E4" s="89"/>
      <c r="F4" s="89"/>
    </row>
    <row r="5" spans="1:10" ht="15" customHeight="1" x14ac:dyDescent="0.35">
      <c r="C5" s="89"/>
      <c r="D5" s="89"/>
      <c r="E5" s="89"/>
      <c r="F5" s="89" t="s">
        <v>40</v>
      </c>
    </row>
    <row r="6" spans="1:10" ht="3.75" customHeight="1" x14ac:dyDescent="0.35"/>
    <row r="7" spans="1:10" s="1" customFormat="1" ht="15.75" customHeight="1" x14ac:dyDescent="0.35">
      <c r="A7" s="146" t="s">
        <v>29</v>
      </c>
      <c r="B7" s="146"/>
      <c r="C7" s="146"/>
      <c r="D7" s="146"/>
      <c r="E7" s="146"/>
      <c r="F7" s="146"/>
      <c r="H7" s="2"/>
      <c r="I7" s="2"/>
    </row>
    <row r="8" spans="1:10" s="1" customFormat="1" ht="15.75" customHeight="1" x14ac:dyDescent="0.35">
      <c r="A8" s="146" t="s">
        <v>76</v>
      </c>
      <c r="B8" s="146"/>
      <c r="C8" s="146"/>
      <c r="D8" s="146"/>
      <c r="E8" s="146"/>
      <c r="F8" s="146"/>
      <c r="H8" s="2"/>
      <c r="I8" s="2"/>
    </row>
    <row r="9" spans="1:10" s="1" customFormat="1" ht="3" customHeight="1" x14ac:dyDescent="0.35">
      <c r="A9" s="145"/>
      <c r="B9" s="144"/>
      <c r="C9" s="143"/>
      <c r="D9" s="142"/>
      <c r="E9" s="143"/>
      <c r="F9" s="142"/>
      <c r="H9" s="141"/>
      <c r="I9" s="2"/>
    </row>
    <row r="10" spans="1:10" s="1" customFormat="1" ht="15.75" customHeight="1" x14ac:dyDescent="0.35">
      <c r="A10" s="148" t="s">
        <v>38</v>
      </c>
      <c r="B10" s="148"/>
      <c r="C10" s="148"/>
      <c r="D10" s="148"/>
      <c r="E10" s="148"/>
      <c r="F10" s="148"/>
      <c r="H10" s="141"/>
      <c r="I10" s="2"/>
    </row>
    <row r="11" spans="1:10" ht="18" customHeight="1" x14ac:dyDescent="0.35">
      <c r="A11" s="153" t="s">
        <v>75</v>
      </c>
      <c r="B11" s="140" t="s">
        <v>74</v>
      </c>
      <c r="C11" s="139" t="s">
        <v>73</v>
      </c>
      <c r="D11" s="138"/>
      <c r="E11" s="139" t="s">
        <v>72</v>
      </c>
      <c r="F11" s="138"/>
    </row>
    <row r="12" spans="1:10" ht="21.75" customHeight="1" x14ac:dyDescent="0.35">
      <c r="A12" s="154"/>
      <c r="B12" s="137" t="s">
        <v>71</v>
      </c>
      <c r="C12" s="136" t="s">
        <v>71</v>
      </c>
      <c r="D12" s="134" t="s">
        <v>70</v>
      </c>
      <c r="E12" s="135" t="s">
        <v>71</v>
      </c>
      <c r="F12" s="134" t="s">
        <v>70</v>
      </c>
    </row>
    <row r="13" spans="1:10" x14ac:dyDescent="0.35">
      <c r="A13" s="133" t="s">
        <v>28</v>
      </c>
      <c r="B13" s="132"/>
      <c r="C13" s="131"/>
      <c r="D13" s="131"/>
      <c r="E13" s="130"/>
      <c r="F13" s="129"/>
      <c r="H13" s="90"/>
    </row>
    <row r="14" spans="1:10" x14ac:dyDescent="0.35">
      <c r="A14" s="107" t="s">
        <v>69</v>
      </c>
      <c r="B14" s="106">
        <v>82.113811035656809</v>
      </c>
      <c r="C14" s="106">
        <v>80.085828959555414</v>
      </c>
      <c r="D14" s="105">
        <v>90.548895792070439</v>
      </c>
      <c r="E14" s="104">
        <v>82.316597574082607</v>
      </c>
      <c r="F14" s="103">
        <v>92.175076705359459</v>
      </c>
      <c r="H14" s="119"/>
      <c r="I14" s="119"/>
      <c r="J14" s="119"/>
    </row>
    <row r="15" spans="1:10" x14ac:dyDescent="0.35">
      <c r="A15" s="112" t="s">
        <v>68</v>
      </c>
      <c r="B15" s="111">
        <v>80.826462712254042</v>
      </c>
      <c r="C15" s="111">
        <v>79.130595862920643</v>
      </c>
      <c r="D15" s="110">
        <v>89.822984263753895</v>
      </c>
      <c r="E15" s="109">
        <v>81.334561645938891</v>
      </c>
      <c r="F15" s="108">
        <v>91.436409983971117</v>
      </c>
      <c r="H15" s="90"/>
      <c r="I15" s="90"/>
      <c r="J15" s="90"/>
    </row>
    <row r="16" spans="1:10" x14ac:dyDescent="0.35">
      <c r="A16" s="127" t="s">
        <v>26</v>
      </c>
      <c r="B16" s="126"/>
      <c r="C16" s="126"/>
      <c r="D16" s="126"/>
      <c r="E16" s="126"/>
      <c r="F16" s="125"/>
      <c r="H16" s="90"/>
      <c r="I16" s="90"/>
      <c r="J16" s="90"/>
    </row>
    <row r="17" spans="1:11" x14ac:dyDescent="0.35">
      <c r="A17" s="107" t="s">
        <v>67</v>
      </c>
      <c r="B17" s="106">
        <v>24.869782114298292</v>
      </c>
      <c r="C17" s="106">
        <v>25.242647058823529</v>
      </c>
      <c r="D17" s="105">
        <v>38.580942141638275</v>
      </c>
      <c r="E17" s="104">
        <v>33.090078136517761</v>
      </c>
      <c r="F17" s="103">
        <v>48.361513668823143</v>
      </c>
      <c r="H17" s="90"/>
      <c r="I17" s="119"/>
      <c r="J17" s="119"/>
      <c r="K17" s="128"/>
    </row>
    <row r="18" spans="1:11" x14ac:dyDescent="0.35">
      <c r="A18" s="112" t="s">
        <v>66</v>
      </c>
      <c r="B18" s="111">
        <v>76.79783894283419</v>
      </c>
      <c r="C18" s="111">
        <v>70.46052631578948</v>
      </c>
      <c r="D18" s="110">
        <v>77.998743134706629</v>
      </c>
      <c r="E18" s="109">
        <v>80.999487066754597</v>
      </c>
      <c r="F18" s="108">
        <v>88.525570726115859</v>
      </c>
      <c r="H18" s="90"/>
      <c r="I18" s="119"/>
      <c r="J18" s="119"/>
      <c r="K18" s="128"/>
    </row>
    <row r="19" spans="1:11" x14ac:dyDescent="0.35">
      <c r="A19" s="107" t="s">
        <v>65</v>
      </c>
      <c r="B19" s="106">
        <v>63.85982880971541</v>
      </c>
      <c r="C19" s="106">
        <v>62.106105814715086</v>
      </c>
      <c r="D19" s="105">
        <v>73.121669901048492</v>
      </c>
      <c r="E19" s="104">
        <v>69.756595248506045</v>
      </c>
      <c r="F19" s="103">
        <v>77.265666530891224</v>
      </c>
      <c r="H19" s="90"/>
      <c r="I19" s="119"/>
      <c r="J19" s="119"/>
      <c r="K19" s="128"/>
    </row>
    <row r="20" spans="1:11" x14ac:dyDescent="0.35">
      <c r="A20" s="112" t="s">
        <v>64</v>
      </c>
      <c r="B20" s="111">
        <v>55.218674537161263</v>
      </c>
      <c r="C20" s="111">
        <v>52.670583359742572</v>
      </c>
      <c r="D20" s="110">
        <v>63.307350306076884</v>
      </c>
      <c r="E20" s="109">
        <v>61.353365090997926</v>
      </c>
      <c r="F20" s="108">
        <v>71.448553833817613</v>
      </c>
      <c r="H20" s="90"/>
      <c r="I20" s="119"/>
      <c r="J20" s="119"/>
      <c r="K20" s="128"/>
    </row>
    <row r="21" spans="1:11" x14ac:dyDescent="0.35">
      <c r="A21" s="107" t="s">
        <v>63</v>
      </c>
      <c r="B21" s="106">
        <v>55.594311778910651</v>
      </c>
      <c r="C21" s="106">
        <v>53.136198532458991</v>
      </c>
      <c r="D21" s="105">
        <v>63.672054942229941</v>
      </c>
      <c r="E21" s="104">
        <v>61.895688286307561</v>
      </c>
      <c r="F21" s="103">
        <v>71.858408255034533</v>
      </c>
      <c r="H21" s="90"/>
      <c r="I21" s="119"/>
      <c r="J21" s="119"/>
      <c r="K21" s="128"/>
    </row>
    <row r="22" spans="1:11" x14ac:dyDescent="0.35">
      <c r="A22" s="127" t="s">
        <v>24</v>
      </c>
      <c r="B22" s="126"/>
      <c r="C22" s="126"/>
      <c r="D22" s="126"/>
      <c r="E22" s="126"/>
      <c r="F22" s="125"/>
      <c r="H22" s="119"/>
      <c r="I22" s="119"/>
      <c r="J22" s="119"/>
    </row>
    <row r="23" spans="1:11" x14ac:dyDescent="0.35">
      <c r="A23" s="107" t="s">
        <v>50</v>
      </c>
      <c r="B23" s="106">
        <v>0.4506256454273605</v>
      </c>
      <c r="C23" s="106">
        <v>-0.4759683967957784</v>
      </c>
      <c r="D23" s="105">
        <v>0.43876962396363073</v>
      </c>
      <c r="E23" s="106">
        <v>-0.36162201695695284</v>
      </c>
      <c r="F23" s="103">
        <v>0.39712680772554521</v>
      </c>
      <c r="H23" s="119"/>
      <c r="I23" s="119"/>
      <c r="J23" s="119"/>
    </row>
    <row r="24" spans="1:11" x14ac:dyDescent="0.35">
      <c r="A24" s="112" t="s">
        <v>58</v>
      </c>
      <c r="B24" s="111">
        <v>3.2355033079699891</v>
      </c>
      <c r="C24" s="111">
        <v>3.4441707717569825</v>
      </c>
      <c r="D24" s="110">
        <v>0.47104009397397339</v>
      </c>
      <c r="E24" s="111">
        <v>3.6528322292821436</v>
      </c>
      <c r="F24" s="108">
        <v>0.45218297092196602</v>
      </c>
      <c r="H24" s="119"/>
      <c r="I24" s="119"/>
      <c r="J24" s="119"/>
    </row>
    <row r="25" spans="1:11" x14ac:dyDescent="0.35">
      <c r="A25" s="107" t="s">
        <v>57</v>
      </c>
      <c r="B25" s="106">
        <v>95.102758041103215</v>
      </c>
      <c r="C25" s="106">
        <v>95.527255785059793</v>
      </c>
      <c r="D25" s="105">
        <v>96.9551648474215</v>
      </c>
      <c r="E25" s="106">
        <v>99.649532710280369</v>
      </c>
      <c r="F25" s="103">
        <v>98.150026946338286</v>
      </c>
      <c r="H25" s="119"/>
      <c r="I25" s="119"/>
      <c r="J25" s="119"/>
    </row>
    <row r="26" spans="1:11" x14ac:dyDescent="0.35">
      <c r="A26" s="112" t="s">
        <v>56</v>
      </c>
      <c r="B26" s="111">
        <v>94.124763705103959</v>
      </c>
      <c r="C26" s="111">
        <v>92.412860576923066</v>
      </c>
      <c r="D26" s="110">
        <v>101.9341223948949</v>
      </c>
      <c r="E26" s="111">
        <v>95.456580125335719</v>
      </c>
      <c r="F26" s="108">
        <v>103.78941864704068</v>
      </c>
      <c r="H26" s="119"/>
      <c r="I26" s="119"/>
      <c r="J26" s="119"/>
    </row>
    <row r="27" spans="1:11" x14ac:dyDescent="0.35">
      <c r="A27" s="107" t="s">
        <v>62</v>
      </c>
      <c r="B27" s="106">
        <v>92.848604089358204</v>
      </c>
      <c r="C27" s="106">
        <v>89.954963291998268</v>
      </c>
      <c r="D27" s="105">
        <v>101.72046958709984</v>
      </c>
      <c r="E27" s="106">
        <v>90.316819571865452</v>
      </c>
      <c r="F27" s="103">
        <v>101.19578388660526</v>
      </c>
      <c r="H27" s="119"/>
      <c r="I27" s="119"/>
      <c r="J27" s="119"/>
    </row>
    <row r="28" spans="1:11" x14ac:dyDescent="0.35">
      <c r="A28" s="112" t="s">
        <v>61</v>
      </c>
      <c r="B28" s="111">
        <v>87.540158892237201</v>
      </c>
      <c r="C28" s="111">
        <v>84.989820470109194</v>
      </c>
      <c r="D28" s="110">
        <v>96.314695429046509</v>
      </c>
      <c r="E28" s="111">
        <v>85.332110091743118</v>
      </c>
      <c r="F28" s="108">
        <v>95.816612827648669</v>
      </c>
      <c r="H28" s="90"/>
      <c r="I28" s="90"/>
      <c r="J28" s="90"/>
    </row>
    <row r="29" spans="1:11" x14ac:dyDescent="0.35">
      <c r="A29" s="127" t="s">
        <v>20</v>
      </c>
      <c r="B29" s="126"/>
      <c r="C29" s="126"/>
      <c r="D29" s="126"/>
      <c r="E29" s="126"/>
      <c r="F29" s="125"/>
      <c r="H29" s="119"/>
      <c r="I29" s="119"/>
      <c r="J29" s="119"/>
    </row>
    <row r="30" spans="1:11" x14ac:dyDescent="0.35">
      <c r="A30" s="107" t="s">
        <v>51</v>
      </c>
      <c r="B30" s="106">
        <v>97.696154792162005</v>
      </c>
      <c r="C30" s="106">
        <v>94.38464010282776</v>
      </c>
      <c r="D30" s="105">
        <v>93.105822485612947</v>
      </c>
      <c r="E30" s="104">
        <v>94.399284669159485</v>
      </c>
      <c r="F30" s="103">
        <v>95.031628893548429</v>
      </c>
      <c r="H30" s="119"/>
      <c r="I30" s="119"/>
      <c r="J30" s="119"/>
    </row>
    <row r="31" spans="1:11" x14ac:dyDescent="0.35">
      <c r="A31" s="112" t="s">
        <v>50</v>
      </c>
      <c r="B31" s="111">
        <v>3.3239485175821648</v>
      </c>
      <c r="C31" s="111">
        <v>2.7830161723527036</v>
      </c>
      <c r="D31" s="110">
        <v>2.54778221710249</v>
      </c>
      <c r="E31" s="109">
        <v>2.5013625541435935</v>
      </c>
      <c r="F31" s="108">
        <v>2.2918429271874818</v>
      </c>
      <c r="H31" s="119"/>
      <c r="I31" s="119"/>
      <c r="J31" s="119"/>
    </row>
    <row r="32" spans="1:11" x14ac:dyDescent="0.35">
      <c r="A32" s="107" t="s">
        <v>58</v>
      </c>
      <c r="B32" s="106">
        <v>10.05153146893637</v>
      </c>
      <c r="C32" s="106">
        <v>5.9009604877207078</v>
      </c>
      <c r="D32" s="105">
        <v>2.2384648038226818</v>
      </c>
      <c r="E32" s="104">
        <v>3.4621043824471287</v>
      </c>
      <c r="F32" s="103">
        <v>2.1403697727291782</v>
      </c>
      <c r="H32" s="119"/>
      <c r="I32" s="119"/>
      <c r="J32" s="119"/>
    </row>
    <row r="33" spans="1:10" x14ac:dyDescent="0.35">
      <c r="A33" s="112" t="s">
        <v>57</v>
      </c>
      <c r="B33" s="111">
        <v>86.835295099757914</v>
      </c>
      <c r="C33" s="111">
        <v>89.889889889889886</v>
      </c>
      <c r="D33" s="110">
        <v>92.865387576774694</v>
      </c>
      <c r="E33" s="109">
        <v>91.163141993957709</v>
      </c>
      <c r="F33" s="108">
        <v>92.527364626036132</v>
      </c>
      <c r="H33" s="119"/>
      <c r="I33" s="119"/>
      <c r="J33" s="119"/>
    </row>
    <row r="34" spans="1:10" x14ac:dyDescent="0.35">
      <c r="A34" s="107" t="s">
        <v>56</v>
      </c>
      <c r="B34" s="106">
        <v>78.695717960357086</v>
      </c>
      <c r="C34" s="106">
        <v>81.114038389160697</v>
      </c>
      <c r="D34" s="105">
        <v>91.876923795994145</v>
      </c>
      <c r="E34" s="104">
        <v>81.364691783387016</v>
      </c>
      <c r="F34" s="103">
        <v>89.804444151920364</v>
      </c>
      <c r="H34" s="119"/>
      <c r="I34" s="119"/>
      <c r="J34" s="119"/>
    </row>
    <row r="35" spans="1:10" x14ac:dyDescent="0.35">
      <c r="A35" s="112" t="s">
        <v>60</v>
      </c>
      <c r="B35" s="111">
        <v>87.792574656981444</v>
      </c>
      <c r="C35" s="111">
        <v>87.749473473071902</v>
      </c>
      <c r="D35" s="110">
        <v>94.670888333927934</v>
      </c>
      <c r="E35" s="109">
        <v>86.848530144494276</v>
      </c>
      <c r="F35" s="108">
        <v>94.056932269296951</v>
      </c>
      <c r="H35" s="119"/>
      <c r="I35" s="119"/>
      <c r="J35" s="119"/>
    </row>
    <row r="36" spans="1:10" x14ac:dyDescent="0.35">
      <c r="A36" s="107" t="s">
        <v>59</v>
      </c>
      <c r="B36" s="106">
        <v>77.166565778853908</v>
      </c>
      <c r="C36" s="106">
        <v>78.931401063082944</v>
      </c>
      <c r="D36" s="105">
        <v>83.855666307503625</v>
      </c>
      <c r="E36" s="104">
        <v>78.121574489287497</v>
      </c>
      <c r="F36" s="124">
        <v>83.305904438452842</v>
      </c>
      <c r="H36" s="119"/>
      <c r="I36" s="119"/>
      <c r="J36" s="119"/>
    </row>
    <row r="37" spans="1:10" x14ac:dyDescent="0.35">
      <c r="A37" s="123" t="s">
        <v>10</v>
      </c>
      <c r="B37" s="122"/>
      <c r="C37" s="122"/>
      <c r="D37" s="122"/>
      <c r="E37" s="122"/>
      <c r="F37" s="121"/>
      <c r="H37" s="119"/>
      <c r="I37" s="119"/>
      <c r="J37" s="119"/>
    </row>
    <row r="38" spans="1:10" x14ac:dyDescent="0.35">
      <c r="A38" s="107" t="s">
        <v>51</v>
      </c>
      <c r="B38" s="106">
        <v>101.43042912873864</v>
      </c>
      <c r="C38" s="106">
        <v>110.39223226302634</v>
      </c>
      <c r="D38" s="105">
        <v>90.303209142071765</v>
      </c>
      <c r="E38" s="104">
        <v>111.68337045285821</v>
      </c>
      <c r="F38" s="103">
        <v>91.299275514381847</v>
      </c>
      <c r="H38" s="119"/>
      <c r="I38" s="119"/>
      <c r="J38" s="119"/>
    </row>
    <row r="39" spans="1:10" x14ac:dyDescent="0.35">
      <c r="A39" s="112" t="s">
        <v>50</v>
      </c>
      <c r="B39" s="111">
        <v>12.531070824909685</v>
      </c>
      <c r="C39" s="111">
        <v>9.9729147857490101</v>
      </c>
      <c r="D39" s="110">
        <v>9.2482325469735116</v>
      </c>
      <c r="E39" s="109">
        <v>8.8621993242113071</v>
      </c>
      <c r="F39" s="108">
        <v>9.2356339587371004</v>
      </c>
      <c r="H39" s="119"/>
      <c r="I39" s="119"/>
      <c r="J39" s="119"/>
    </row>
    <row r="40" spans="1:10" x14ac:dyDescent="0.35">
      <c r="A40" s="107" t="s">
        <v>58</v>
      </c>
      <c r="B40" s="106">
        <v>9.2041623919097209</v>
      </c>
      <c r="C40" s="106">
        <v>9.1196032014429047</v>
      </c>
      <c r="D40" s="105">
        <v>12.053771184956375</v>
      </c>
      <c r="E40" s="104">
        <v>9.0253614090468837</v>
      </c>
      <c r="F40" s="103">
        <v>11.972895108572123</v>
      </c>
      <c r="H40" s="119"/>
      <c r="I40" s="119"/>
      <c r="J40" s="119"/>
    </row>
    <row r="41" spans="1:10" x14ac:dyDescent="0.35">
      <c r="A41" s="112" t="s">
        <v>57</v>
      </c>
      <c r="B41" s="111">
        <v>63.859575066835518</v>
      </c>
      <c r="C41" s="111">
        <v>64.052702595444075</v>
      </c>
      <c r="D41" s="110">
        <v>70.240267556253883</v>
      </c>
      <c r="E41" s="109">
        <v>71.456043956043956</v>
      </c>
      <c r="F41" s="108">
        <v>73.212677807008802</v>
      </c>
      <c r="H41" s="90"/>
      <c r="I41" s="90"/>
      <c r="J41" s="90"/>
    </row>
    <row r="42" spans="1:10" x14ac:dyDescent="0.35">
      <c r="A42" s="107" t="s">
        <v>56</v>
      </c>
      <c r="B42" s="106">
        <v>68.947968097227502</v>
      </c>
      <c r="C42" s="106">
        <v>60.901064070636181</v>
      </c>
      <c r="D42" s="105">
        <v>63.600436314437992</v>
      </c>
      <c r="E42" s="104">
        <v>58.431930507713048</v>
      </c>
      <c r="F42" s="103">
        <v>60.075548708762398</v>
      </c>
      <c r="H42" s="119"/>
      <c r="I42" s="119"/>
      <c r="J42" s="119"/>
    </row>
    <row r="43" spans="1:10" x14ac:dyDescent="0.35">
      <c r="A43" s="112" t="s">
        <v>55</v>
      </c>
      <c r="B43" s="111">
        <v>76.173285198555945</v>
      </c>
      <c r="C43" s="111">
        <v>72.227935090667401</v>
      </c>
      <c r="D43" s="110">
        <v>72.862042704061992</v>
      </c>
      <c r="E43" s="109">
        <v>74.561600439023167</v>
      </c>
      <c r="F43" s="108">
        <v>73.197457862217306</v>
      </c>
      <c r="H43" s="119"/>
      <c r="I43" s="119"/>
      <c r="J43" s="119"/>
    </row>
    <row r="44" spans="1:10" x14ac:dyDescent="0.35">
      <c r="A44" s="107" t="s">
        <v>54</v>
      </c>
      <c r="B44" s="106">
        <v>82.219585468682936</v>
      </c>
      <c r="C44" s="106">
        <v>76.887963682877285</v>
      </c>
      <c r="D44" s="105">
        <v>78.400458538136903</v>
      </c>
      <c r="E44" s="104">
        <v>79.373394197909647</v>
      </c>
      <c r="F44" s="103">
        <v>78.773452915283144</v>
      </c>
      <c r="H44" s="119"/>
      <c r="I44" s="120"/>
      <c r="J44" s="120"/>
    </row>
    <row r="45" spans="1:10" x14ac:dyDescent="0.35">
      <c r="A45" s="112" t="s">
        <v>53</v>
      </c>
      <c r="B45" s="111">
        <v>53.641665194011765</v>
      </c>
      <c r="C45" s="111">
        <v>46.723182262797522</v>
      </c>
      <c r="D45" s="110">
        <v>60.675903080458362</v>
      </c>
      <c r="E45" s="109">
        <v>54.708274090149423</v>
      </c>
      <c r="F45" s="108">
        <v>59.146954254527095</v>
      </c>
      <c r="H45" s="119"/>
      <c r="I45" s="119"/>
      <c r="J45" s="119"/>
    </row>
    <row r="46" spans="1:10" x14ac:dyDescent="0.35">
      <c r="A46" s="118" t="s">
        <v>52</v>
      </c>
      <c r="B46" s="117"/>
      <c r="C46" s="117"/>
      <c r="D46" s="117"/>
      <c r="E46" s="117"/>
      <c r="F46" s="116"/>
      <c r="H46" s="90"/>
      <c r="I46" s="90"/>
      <c r="J46" s="90"/>
    </row>
    <row r="47" spans="1:10" x14ac:dyDescent="0.35">
      <c r="A47" s="107" t="s">
        <v>51</v>
      </c>
      <c r="B47" s="106">
        <v>67.84468204839618</v>
      </c>
      <c r="C47" s="106">
        <v>71.219187208527643</v>
      </c>
      <c r="D47" s="105">
        <v>68.075095204300098</v>
      </c>
      <c r="E47" s="104">
        <v>71.313941825476434</v>
      </c>
      <c r="F47" s="103">
        <v>69.076045758390194</v>
      </c>
      <c r="H47" s="90"/>
      <c r="I47" s="90"/>
      <c r="J47" s="90"/>
    </row>
    <row r="48" spans="1:10" x14ac:dyDescent="0.35">
      <c r="A48" s="112" t="s">
        <v>50</v>
      </c>
      <c r="B48" s="111">
        <v>14.561123841785395</v>
      </c>
      <c r="C48" s="111">
        <v>14.322238064801617</v>
      </c>
      <c r="D48" s="110">
        <v>8.5439504278360232</v>
      </c>
      <c r="E48" s="109">
        <v>14.123951066626228</v>
      </c>
      <c r="F48" s="108">
        <v>8.3337551407782318</v>
      </c>
      <c r="H48" s="90"/>
      <c r="I48" s="90"/>
      <c r="J48" s="90"/>
    </row>
    <row r="49" spans="1:10" x14ac:dyDescent="0.35">
      <c r="A49" s="107" t="s">
        <v>49</v>
      </c>
      <c r="B49" s="106">
        <v>26.803875929767745</v>
      </c>
      <c r="C49" s="106">
        <v>27.037415094577394</v>
      </c>
      <c r="D49" s="105">
        <v>30.621789759912865</v>
      </c>
      <c r="E49" s="104">
        <v>26.150084634192211</v>
      </c>
      <c r="F49" s="103">
        <v>30.806235981494044</v>
      </c>
      <c r="H49" s="90"/>
      <c r="I49" s="90"/>
      <c r="J49" s="90"/>
    </row>
    <row r="50" spans="1:10" x14ac:dyDescent="0.35">
      <c r="A50" s="112" t="s">
        <v>48</v>
      </c>
      <c r="B50" s="111">
        <v>30.506207923650898</v>
      </c>
      <c r="C50" s="111">
        <v>30.764925655337237</v>
      </c>
      <c r="D50" s="110">
        <v>34.484611655840489</v>
      </c>
      <c r="E50" s="109">
        <v>29.751842382313132</v>
      </c>
      <c r="F50" s="108">
        <v>34.683476115270743</v>
      </c>
      <c r="H50" s="90"/>
      <c r="I50" s="90"/>
      <c r="J50" s="90"/>
    </row>
    <row r="51" spans="1:10" x14ac:dyDescent="0.35">
      <c r="A51" s="107" t="s">
        <v>47</v>
      </c>
      <c r="B51" s="106">
        <v>38.045377870309864</v>
      </c>
      <c r="C51" s="106">
        <v>38.889140990152924</v>
      </c>
      <c r="D51" s="105">
        <v>42.545891307303194</v>
      </c>
      <c r="E51" s="104">
        <v>37.599639043465181</v>
      </c>
      <c r="F51" s="103">
        <v>42.84947472301657</v>
      </c>
      <c r="H51" s="90"/>
      <c r="I51" s="90"/>
      <c r="J51" s="90"/>
    </row>
    <row r="52" spans="1:10" x14ac:dyDescent="0.35">
      <c r="A52" s="115" t="s">
        <v>46</v>
      </c>
      <c r="B52" s="114"/>
      <c r="C52" s="114"/>
      <c r="D52" s="114"/>
      <c r="E52" s="114"/>
      <c r="F52" s="113"/>
      <c r="H52" s="90"/>
      <c r="I52" s="90"/>
      <c r="J52" s="90"/>
    </row>
    <row r="53" spans="1:10" x14ac:dyDescent="0.35">
      <c r="A53" s="112" t="s">
        <v>45</v>
      </c>
      <c r="B53" s="111">
        <v>12.69627450789617</v>
      </c>
      <c r="C53" s="111">
        <v>12.404952463618152</v>
      </c>
      <c r="D53" s="110">
        <v>13.596245811879109</v>
      </c>
      <c r="E53" s="109">
        <v>12.283943334134699</v>
      </c>
      <c r="F53" s="108">
        <v>13.486295481889201</v>
      </c>
      <c r="H53" s="90"/>
      <c r="I53" s="90"/>
      <c r="J53" s="90"/>
    </row>
    <row r="54" spans="1:10" x14ac:dyDescent="0.35">
      <c r="A54" s="107" t="s">
        <v>44</v>
      </c>
      <c r="B54" s="106">
        <v>10.050000000000001</v>
      </c>
      <c r="C54" s="106">
        <v>10.154255916182233</v>
      </c>
      <c r="D54" s="105">
        <v>9.8556313156987496</v>
      </c>
      <c r="E54" s="104">
        <v>10.258511832364466</v>
      </c>
      <c r="F54" s="103">
        <v>9.971262631397499</v>
      </c>
      <c r="H54" s="90"/>
      <c r="I54" s="90"/>
      <c r="J54" s="90"/>
    </row>
    <row r="55" spans="1:10" x14ac:dyDescent="0.35">
      <c r="A55" s="102" t="s">
        <v>43</v>
      </c>
      <c r="B55" s="101">
        <v>3.3042724937466823</v>
      </c>
      <c r="C55" s="101">
        <v>3.2257783507848843</v>
      </c>
      <c r="D55" s="100">
        <v>4.4889089590471833</v>
      </c>
      <c r="E55" s="99">
        <v>3.1058514405361852</v>
      </c>
      <c r="F55" s="98">
        <v>4.3201167946423542</v>
      </c>
      <c r="H55" s="90"/>
      <c r="I55" s="90"/>
      <c r="J55" s="90"/>
    </row>
    <row r="56" spans="1:10" ht="14.25" customHeight="1" x14ac:dyDescent="0.35">
      <c r="A56" s="97"/>
      <c r="B56" s="96"/>
      <c r="D56" s="95"/>
      <c r="F56" s="95" t="s">
        <v>1</v>
      </c>
      <c r="H56" s="90"/>
      <c r="I56" s="90"/>
      <c r="J56" s="90"/>
    </row>
    <row r="57" spans="1:10" s="93" customFormat="1" ht="86.45" customHeight="1" x14ac:dyDescent="0.35">
      <c r="A57" s="155" t="s">
        <v>42</v>
      </c>
      <c r="B57" s="155"/>
      <c r="C57" s="155"/>
      <c r="D57" s="155"/>
      <c r="E57" s="94"/>
      <c r="H57" s="90"/>
      <c r="I57" s="90"/>
      <c r="J57" s="90"/>
    </row>
    <row r="58" spans="1:10" x14ac:dyDescent="0.35">
      <c r="B58" s="90"/>
      <c r="C58" s="90"/>
      <c r="D58" s="90"/>
      <c r="E58" s="92"/>
      <c r="H58" s="90"/>
      <c r="I58" s="90"/>
      <c r="J58" s="90"/>
    </row>
    <row r="59" spans="1:10" x14ac:dyDescent="0.35">
      <c r="H59" s="90"/>
      <c r="I59" s="90"/>
      <c r="J59" s="90"/>
    </row>
    <row r="60" spans="1:10" x14ac:dyDescent="0.35">
      <c r="E60" s="91"/>
      <c r="H60" s="90"/>
      <c r="I60" s="90"/>
      <c r="J60" s="90"/>
    </row>
    <row r="61" spans="1:10" x14ac:dyDescent="0.35">
      <c r="E61" s="91"/>
      <c r="H61" s="90"/>
    </row>
    <row r="62" spans="1:10" x14ac:dyDescent="0.35">
      <c r="A62" s="91"/>
      <c r="B62" s="91"/>
      <c r="C62" s="91"/>
      <c r="D62" s="91"/>
      <c r="E62" s="91"/>
      <c r="H62" s="90"/>
    </row>
    <row r="63" spans="1:10" x14ac:dyDescent="0.35">
      <c r="A63" s="91"/>
      <c r="B63" s="91"/>
      <c r="C63" s="91"/>
      <c r="D63" s="91"/>
      <c r="E63" s="91"/>
      <c r="H63" s="90"/>
    </row>
    <row r="64" spans="1:10" x14ac:dyDescent="0.35">
      <c r="A64" s="91"/>
      <c r="B64" s="91"/>
      <c r="C64" s="91"/>
      <c r="D64" s="91"/>
      <c r="E64" s="91"/>
      <c r="H64" s="90"/>
    </row>
    <row r="65" spans="8:8" x14ac:dyDescent="0.35">
      <c r="H65" s="90"/>
    </row>
    <row r="66" spans="8:8" x14ac:dyDescent="0.35">
      <c r="H66" s="90"/>
    </row>
    <row r="67" spans="8:8" x14ac:dyDescent="0.35">
      <c r="H67" s="90"/>
    </row>
  </sheetData>
  <mergeCells count="3">
    <mergeCell ref="A10:F10"/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Col</vt:lpstr>
      <vt:lpstr>COL</vt:lpstr>
      <vt:lpstr>COL!Área_de_impresión</vt:lpstr>
      <vt:lpstr>'Est Col'!Área_de_impresión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Ángel Magluf Hernández</cp:lastModifiedBy>
  <dcterms:created xsi:type="dcterms:W3CDTF">2022-09-06T18:50:28Z</dcterms:created>
  <dcterms:modified xsi:type="dcterms:W3CDTF">2022-09-07T17:02:02Z</dcterms:modified>
</cp:coreProperties>
</file>