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9D09E431-FBBE-4ABA-A777-B8512A320CB3}" xr6:coauthVersionLast="47" xr6:coauthVersionMax="47" xr10:uidLastSave="{00000000-0000-0000-0000-000000000000}"/>
  <bookViews>
    <workbookView xWindow="-120" yWindow="-120" windowWidth="29040" windowHeight="15840" xr2:uid="{1C8A0C8F-7141-4FD5-A1FC-8DF4648C9E46}"/>
  </bookViews>
  <sheets>
    <sheet name="Est Mex" sheetId="1" r:id="rId1"/>
    <sheet name="MEX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Mex'!$A$1:$F$74</definedName>
    <definedName name="_xlnm.Print_Area" localSheetId="1">MEX!$A$1:$F$57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D19" i="1"/>
  <c r="E19" i="1"/>
  <c r="B20" i="1"/>
  <c r="C20" i="1"/>
  <c r="C19" i="1" s="1"/>
  <c r="B19" i="1" s="1"/>
  <c r="D20" i="1"/>
  <c r="E20" i="1"/>
  <c r="F20" i="1"/>
  <c r="F17" i="1" s="1"/>
  <c r="C21" i="1"/>
  <c r="C18" i="1" s="1"/>
  <c r="D21" i="1"/>
  <c r="D18" i="1" s="1"/>
  <c r="D15" i="1" s="1"/>
  <c r="E21" i="1"/>
  <c r="E18" i="1" s="1"/>
  <c r="E15" i="1" s="1"/>
  <c r="F21" i="1"/>
  <c r="F19" i="1" s="1"/>
  <c r="B22" i="1"/>
  <c r="C22" i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B52" i="1"/>
  <c r="C52" i="1"/>
  <c r="D52" i="1"/>
  <c r="E52" i="1"/>
  <c r="F52" i="1"/>
  <c r="B53" i="1"/>
  <c r="C53" i="1"/>
  <c r="D53" i="1"/>
  <c r="E53" i="1"/>
  <c r="F53" i="1"/>
  <c r="B54" i="1"/>
  <c r="B55" i="1"/>
  <c r="B56" i="1"/>
  <c r="B57" i="1"/>
  <c r="B58" i="1"/>
  <c r="C60" i="1"/>
  <c r="C59" i="1" s="1"/>
  <c r="D60" i="1"/>
  <c r="D59" i="1" s="1"/>
  <c r="E60" i="1"/>
  <c r="E59" i="1" s="1"/>
  <c r="F60" i="1"/>
  <c r="F59" i="1" s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F14" i="1" l="1"/>
  <c r="B59" i="1"/>
  <c r="E16" i="1"/>
  <c r="E13" i="1" s="1"/>
  <c r="D16" i="1"/>
  <c r="D13" i="1" s="1"/>
  <c r="C16" i="1"/>
  <c r="C15" i="1"/>
  <c r="B15" i="1" s="1"/>
  <c r="B18" i="1"/>
  <c r="B17" i="1"/>
  <c r="E14" i="1"/>
  <c r="B60" i="1"/>
  <c r="D14" i="1"/>
  <c r="C14" i="1"/>
  <c r="F18" i="1"/>
  <c r="F15" i="1" s="1"/>
  <c r="B21" i="1"/>
  <c r="C13" i="1" l="1"/>
  <c r="B13" i="1" s="1"/>
  <c r="B16" i="1"/>
  <c r="F16" i="1"/>
  <c r="F13" i="1" s="1"/>
  <c r="B14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<sst xmlns="http://schemas.openxmlformats.org/spreadsheetml/2006/main" count="133" uniqueCount="78">
  <si>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</si>
  <si>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</si>
  <si>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</si>
  <si>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</si>
  <si>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</si>
  <si>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</si>
  <si>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</si>
  <si>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</si>
  <si>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</si>
  <si>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</si>
  <si>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</si>
  <si>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</si>
  <si>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</si>
  <si>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</si>
  <si>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</si>
  <si>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</si>
  <si>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</si>
  <si>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</si>
  <si>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</si>
  <si>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</si>
  <si>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</si>
  <si>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</si>
  <si>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</si>
  <si>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</si>
  <si>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</si>
  <si>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</si>
  <si>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</si>
  <si>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</si>
  <si>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</si>
  <si>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</si>
  <si>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</si>
  <si>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</si>
  <si>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</si>
  <si>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</si>
  <si>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</si>
  <si>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</si>
  <si>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</si>
  <si>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</si>
  <si>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México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</si>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</sst>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0" borderId="3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7" fillId="7" borderId="5" xfId="1" applyNumberFormat="1" applyFont="1" applyFill="1" applyBorder="1" applyAlignment="1">
      <alignment horizontal="center" vertical="center"/>
    </xf>
    <xf numFmtId="3" fontId="7" fillId="7" borderId="7" xfId="1" applyNumberFormat="1" applyFont="1" applyFill="1" applyBorder="1" applyAlignment="1">
      <alignment horizontal="center" vertical="center"/>
    </xf>
    <xf numFmtId="3" fontId="7" fillId="7" borderId="7" xfId="1" quotePrefix="1" applyNumberFormat="1" applyFont="1" applyFill="1" applyBorder="1" applyAlignment="1">
      <alignment horizontal="center" vertical="center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4EF0FF4B-E64F-4914-B41E-01C35BA463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D0D829F0-CBDA-4D32-A65E-ED077BF5E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EDB54A3E-4302-4198-910D-377182D6B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99E7-D1AC-4347-937A-002447B55DE1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9" t="s">
        <v>41</v>
      </c>
    </row>
    <row r="3" spans="1:16" x14ac:dyDescent="0.35">
      <c r="F3" s="89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7" customFormat="1" ht="15.75" customHeight="1" x14ac:dyDescent="0.35">
      <c r="A7" s="147" t="s">
        <v>39</v>
      </c>
      <c r="B7" s="147"/>
      <c r="C7" s="147"/>
      <c r="D7" s="147"/>
      <c r="E7" s="147"/>
      <c r="F7" s="147"/>
      <c r="H7"/>
      <c r="I7"/>
      <c r="J7"/>
      <c r="K7"/>
      <c r="L7"/>
      <c r="M7"/>
      <c r="N7"/>
      <c r="O7"/>
      <c r="P7" s="2"/>
    </row>
    <row r="8" spans="1:16" s="87" customFormat="1" ht="15.75" customHeight="1" x14ac:dyDescent="0.35">
      <c r="A8" s="147" t="s">
        <v>38</v>
      </c>
      <c r="B8" s="147"/>
      <c r="C8" s="147"/>
      <c r="D8" s="147"/>
      <c r="E8" s="147"/>
      <c r="F8" s="147"/>
      <c r="H8"/>
      <c r="I8"/>
      <c r="J8"/>
      <c r="K8"/>
      <c r="L8"/>
      <c r="M8"/>
      <c r="N8"/>
      <c r="O8"/>
      <c r="P8" s="2"/>
    </row>
    <row r="9" spans="1:16" s="87" customFormat="1" ht="15.75" customHeight="1" x14ac:dyDescent="0.35">
      <c r="A9" s="88" t="s">
        <v>77</v>
      </c>
      <c r="B9" s="88"/>
      <c r="C9" s="88"/>
      <c r="D9" s="88"/>
      <c r="E9" s="88"/>
      <c r="F9" s="88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8" t="s">
        <v>37</v>
      </c>
      <c r="B11" s="150" t="s">
        <v>36</v>
      </c>
      <c r="C11" s="150"/>
      <c r="D11" s="150"/>
      <c r="E11" s="151" t="s">
        <v>35</v>
      </c>
      <c r="F11" s="151" t="s">
        <v>34</v>
      </c>
    </row>
    <row r="12" spans="1:16" ht="15" customHeight="1" x14ac:dyDescent="0.35">
      <c r="A12" s="149"/>
      <c r="B12" s="86" t="s">
        <v>33</v>
      </c>
      <c r="C12" s="86" t="s">
        <v>32</v>
      </c>
      <c r="D12" s="86" t="s">
        <v>31</v>
      </c>
      <c r="E12" s="149"/>
      <c r="F12" s="149"/>
    </row>
    <row r="13" spans="1:16" ht="18" customHeight="1" x14ac:dyDescent="0.35">
      <c r="A13" s="85" t="s">
        <v>30</v>
      </c>
      <c r="B13" s="84">
        <f t="shared" ref="B13:B44" si="0">C13+D13</f>
        <v>4251599</v>
      </c>
      <c r="C13" s="84">
        <f>C16+C62+C68</f>
        <v>2149984</v>
      </c>
      <c r="D13" s="84">
        <f>D16+D62+D68</f>
        <v>2101615</v>
      </c>
      <c r="E13" s="84">
        <f>E16+E62+E68</f>
        <v>255777</v>
      </c>
      <c r="F13" s="84">
        <f>F16+F62+F68</f>
        <v>22664</v>
      </c>
    </row>
    <row r="14" spans="1:16" ht="18" customHeight="1" x14ac:dyDescent="0.35">
      <c r="A14" s="40" t="s">
        <v>3</v>
      </c>
      <c r="B14" s="39">
        <f t="shared" si="0"/>
        <v>3638553</v>
      </c>
      <c r="C14" s="39">
        <f t="shared" ref="C14:F15" si="1">C17+C66+C71</f>
        <v>1824182</v>
      </c>
      <c r="D14" s="39">
        <f t="shared" si="1"/>
        <v>1814371</v>
      </c>
      <c r="E14" s="39">
        <f t="shared" si="1"/>
        <v>196830</v>
      </c>
      <c r="F14" s="39">
        <f t="shared" si="1"/>
        <v>17837</v>
      </c>
    </row>
    <row r="15" spans="1:16" ht="18" customHeight="1" x14ac:dyDescent="0.35">
      <c r="A15" s="38" t="s">
        <v>2</v>
      </c>
      <c r="B15" s="37">
        <f t="shared" si="0"/>
        <v>613046</v>
      </c>
      <c r="C15" s="37">
        <f t="shared" si="1"/>
        <v>325802</v>
      </c>
      <c r="D15" s="37">
        <f t="shared" si="1"/>
        <v>287244</v>
      </c>
      <c r="E15" s="37">
        <f t="shared" si="1"/>
        <v>58947</v>
      </c>
      <c r="F15" s="37">
        <f t="shared" si="1"/>
        <v>4827</v>
      </c>
    </row>
    <row r="16" spans="1:16" ht="18" customHeight="1" x14ac:dyDescent="0.35">
      <c r="A16" s="43" t="s">
        <v>29</v>
      </c>
      <c r="B16" s="42">
        <f t="shared" si="0"/>
        <v>4131404</v>
      </c>
      <c r="C16" s="42">
        <f>C17+C18</f>
        <v>2080928</v>
      </c>
      <c r="D16" s="42">
        <f>D17+D18</f>
        <v>2050476</v>
      </c>
      <c r="E16" s="42">
        <f>E17+E18</f>
        <v>244963</v>
      </c>
      <c r="F16" s="41">
        <f>F17+F18</f>
        <v>22429</v>
      </c>
    </row>
    <row r="17" spans="1:6" ht="18" customHeight="1" x14ac:dyDescent="0.35">
      <c r="A17" s="40" t="s">
        <v>3</v>
      </c>
      <c r="B17" s="39">
        <f t="shared" si="0"/>
        <v>3589949</v>
      </c>
      <c r="C17" s="39">
        <f t="shared" ref="C17:F18" si="2">C20+C50+C57</f>
        <v>1795443</v>
      </c>
      <c r="D17" s="39">
        <f t="shared" si="2"/>
        <v>1794506</v>
      </c>
      <c r="E17" s="39">
        <f t="shared" si="2"/>
        <v>194028</v>
      </c>
      <c r="F17" s="39">
        <f t="shared" si="2"/>
        <v>17769</v>
      </c>
    </row>
    <row r="18" spans="1:6" ht="18" customHeight="1" x14ac:dyDescent="0.35">
      <c r="A18" s="38" t="s">
        <v>2</v>
      </c>
      <c r="B18" s="37">
        <f t="shared" si="0"/>
        <v>541455</v>
      </c>
      <c r="C18" s="37">
        <f t="shared" si="2"/>
        <v>285485</v>
      </c>
      <c r="D18" s="37">
        <f t="shared" si="2"/>
        <v>255970</v>
      </c>
      <c r="E18" s="37">
        <f t="shared" si="2"/>
        <v>50935</v>
      </c>
      <c r="F18" s="37">
        <f t="shared" si="2"/>
        <v>4660</v>
      </c>
    </row>
    <row r="19" spans="1:6" ht="18" customHeight="1" x14ac:dyDescent="0.35">
      <c r="A19" s="83" t="s">
        <v>28</v>
      </c>
      <c r="B19" s="82">
        <f t="shared" si="0"/>
        <v>3047006</v>
      </c>
      <c r="C19" s="82">
        <f>C20+C21</f>
        <v>1509855</v>
      </c>
      <c r="D19" s="82">
        <f>D20+D21</f>
        <v>1537151</v>
      </c>
      <c r="E19" s="82">
        <f>E20+E21</f>
        <v>140417</v>
      </c>
      <c r="F19" s="81">
        <f>F20+F21</f>
        <v>19614</v>
      </c>
    </row>
    <row r="20" spans="1:6" ht="18" customHeight="1" x14ac:dyDescent="0.35">
      <c r="A20" s="40" t="s">
        <v>3</v>
      </c>
      <c r="B20" s="39">
        <f t="shared" si="0"/>
        <v>2762230</v>
      </c>
      <c r="C20" s="39">
        <f t="shared" ref="C20:F21" si="3">C25+C31+C37+C43</f>
        <v>1368016</v>
      </c>
      <c r="D20" s="39">
        <f t="shared" si="3"/>
        <v>1394214</v>
      </c>
      <c r="E20" s="39">
        <f t="shared" si="3"/>
        <v>119704</v>
      </c>
      <c r="F20" s="80">
        <f t="shared" si="3"/>
        <v>15887</v>
      </c>
    </row>
    <row r="21" spans="1:6" ht="18" customHeight="1" x14ac:dyDescent="0.35">
      <c r="A21" s="79" t="s">
        <v>2</v>
      </c>
      <c r="B21" s="78">
        <f t="shared" si="0"/>
        <v>284776</v>
      </c>
      <c r="C21" s="78">
        <f t="shared" si="3"/>
        <v>141839</v>
      </c>
      <c r="D21" s="78">
        <f t="shared" si="3"/>
        <v>142937</v>
      </c>
      <c r="E21" s="78">
        <f t="shared" si="3"/>
        <v>20713</v>
      </c>
      <c r="F21" s="77">
        <f t="shared" si="3"/>
        <v>3727</v>
      </c>
    </row>
    <row r="22" spans="1:6" ht="18" customHeight="1" x14ac:dyDescent="0.35">
      <c r="A22" s="69" t="s">
        <v>27</v>
      </c>
      <c r="B22" s="68">
        <f t="shared" si="0"/>
        <v>11481</v>
      </c>
      <c r="C22" s="68">
        <f>C23+C24</f>
        <v>5473</v>
      </c>
      <c r="D22" s="68">
        <f>D23+D24</f>
        <v>6008</v>
      </c>
      <c r="E22" s="68">
        <f>E23+E24</f>
        <v>551</v>
      </c>
      <c r="F22" s="67">
        <f>F23+F24</f>
        <v>321</v>
      </c>
    </row>
    <row r="23" spans="1:6" ht="18" customHeight="1" x14ac:dyDescent="0.35">
      <c r="A23" s="72" t="s">
        <v>23</v>
      </c>
      <c r="B23" s="49">
        <f t="shared" si="0"/>
        <v>9490</v>
      </c>
      <c r="C23" s="49">
        <v>4459</v>
      </c>
      <c r="D23" s="49">
        <v>5031</v>
      </c>
      <c r="E23" s="49">
        <v>450</v>
      </c>
      <c r="F23" s="9">
        <v>223</v>
      </c>
    </row>
    <row r="24" spans="1:6" ht="18" customHeight="1" x14ac:dyDescent="0.35">
      <c r="A24" s="73" t="s">
        <v>22</v>
      </c>
      <c r="B24" s="76">
        <f t="shared" si="0"/>
        <v>1991</v>
      </c>
      <c r="C24" s="75">
        <v>1014</v>
      </c>
      <c r="D24" s="75">
        <v>977</v>
      </c>
      <c r="E24" s="75">
        <v>101</v>
      </c>
      <c r="F24" s="74">
        <v>98</v>
      </c>
    </row>
    <row r="25" spans="1:6" ht="18" customHeight="1" x14ac:dyDescent="0.35">
      <c r="A25" s="34" t="s">
        <v>3</v>
      </c>
      <c r="B25" s="11">
        <f t="shared" si="0"/>
        <v>6681</v>
      </c>
      <c r="C25" s="11">
        <v>3205</v>
      </c>
      <c r="D25" s="11">
        <v>3476</v>
      </c>
      <c r="E25" s="11">
        <v>466</v>
      </c>
      <c r="F25" s="9">
        <v>260</v>
      </c>
    </row>
    <row r="26" spans="1:6" ht="18" customHeight="1" x14ac:dyDescent="0.35">
      <c r="A26" s="58" t="s">
        <v>2</v>
      </c>
      <c r="B26" s="57">
        <f t="shared" si="0"/>
        <v>4800</v>
      </c>
      <c r="C26" s="57">
        <v>2268</v>
      </c>
      <c r="D26" s="57">
        <v>2532</v>
      </c>
      <c r="E26" s="57">
        <v>85</v>
      </c>
      <c r="F26" s="56">
        <v>61</v>
      </c>
    </row>
    <row r="27" spans="1:6" ht="18" customHeight="1" x14ac:dyDescent="0.35">
      <c r="A27" s="69" t="s">
        <v>26</v>
      </c>
      <c r="B27" s="68">
        <f t="shared" si="0"/>
        <v>457728</v>
      </c>
      <c r="C27" s="68">
        <f>C28+C29+C30</f>
        <v>228091</v>
      </c>
      <c r="D27" s="68">
        <f>D28+D29+D30</f>
        <v>229637</v>
      </c>
      <c r="E27" s="68">
        <f>E28+E29+E30</f>
        <v>24131</v>
      </c>
      <c r="F27" s="67">
        <f>F28+F29+F30</f>
        <v>7496</v>
      </c>
    </row>
    <row r="28" spans="1:6" ht="18" customHeight="1" x14ac:dyDescent="0.35">
      <c r="A28" s="72" t="s">
        <v>25</v>
      </c>
      <c r="B28" s="49">
        <f t="shared" si="0"/>
        <v>438219</v>
      </c>
      <c r="C28" s="49">
        <v>218431</v>
      </c>
      <c r="D28" s="49">
        <v>219788</v>
      </c>
      <c r="E28" s="49">
        <v>22865</v>
      </c>
      <c r="F28" s="9">
        <v>6517</v>
      </c>
    </row>
    <row r="29" spans="1:6" ht="18" customHeight="1" x14ac:dyDescent="0.35">
      <c r="A29" s="73" t="s">
        <v>22</v>
      </c>
      <c r="B29" s="50">
        <f t="shared" si="0"/>
        <v>13238</v>
      </c>
      <c r="C29" s="50">
        <v>6539</v>
      </c>
      <c r="D29" s="50">
        <v>6699</v>
      </c>
      <c r="E29" s="50">
        <v>573</v>
      </c>
      <c r="F29" s="46">
        <v>284</v>
      </c>
    </row>
    <row r="30" spans="1:6" ht="18" customHeight="1" x14ac:dyDescent="0.35">
      <c r="A30" s="72" t="s">
        <v>21</v>
      </c>
      <c r="B30" s="49">
        <f t="shared" si="0"/>
        <v>6271</v>
      </c>
      <c r="C30" s="49">
        <v>3121</v>
      </c>
      <c r="D30" s="49">
        <v>3150</v>
      </c>
      <c r="E30" s="49">
        <v>693</v>
      </c>
      <c r="F30" s="9">
        <v>695</v>
      </c>
    </row>
    <row r="31" spans="1:6" ht="18" customHeight="1" x14ac:dyDescent="0.35">
      <c r="A31" s="71" t="s">
        <v>3</v>
      </c>
      <c r="B31" s="66">
        <f t="shared" si="0"/>
        <v>402037</v>
      </c>
      <c r="C31" s="66">
        <v>200327</v>
      </c>
      <c r="D31" s="66">
        <v>201710</v>
      </c>
      <c r="E31" s="66">
        <v>19096</v>
      </c>
      <c r="F31" s="70">
        <v>5648</v>
      </c>
    </row>
    <row r="32" spans="1:6" ht="18" customHeight="1" x14ac:dyDescent="0.35">
      <c r="A32" s="30" t="s">
        <v>2</v>
      </c>
      <c r="B32" s="44">
        <f t="shared" si="0"/>
        <v>55691</v>
      </c>
      <c r="C32" s="44">
        <v>27764</v>
      </c>
      <c r="D32" s="44">
        <v>27927</v>
      </c>
      <c r="E32" s="44">
        <v>5035</v>
      </c>
      <c r="F32" s="27">
        <v>1848</v>
      </c>
    </row>
    <row r="33" spans="1:6" ht="18" customHeight="1" x14ac:dyDescent="0.35">
      <c r="A33" s="69" t="s">
        <v>24</v>
      </c>
      <c r="B33" s="68">
        <f t="shared" si="0"/>
        <v>1719960</v>
      </c>
      <c r="C33" s="68">
        <f>C34+C35+C36</f>
        <v>848790</v>
      </c>
      <c r="D33" s="68">
        <f>D34+D35+D36</f>
        <v>871170</v>
      </c>
      <c r="E33" s="68">
        <f>E34+E35+E36</f>
        <v>69305</v>
      </c>
      <c r="F33" s="67">
        <f>F34+F35+F36</f>
        <v>7834</v>
      </c>
    </row>
    <row r="34" spans="1:6" ht="18" customHeight="1" x14ac:dyDescent="0.35">
      <c r="A34" s="72" t="s">
        <v>23</v>
      </c>
      <c r="B34" s="49">
        <f t="shared" si="0"/>
        <v>1697375</v>
      </c>
      <c r="C34" s="49">
        <v>837560</v>
      </c>
      <c r="D34" s="49">
        <v>859815</v>
      </c>
      <c r="E34" s="49">
        <v>68016</v>
      </c>
      <c r="F34" s="9">
        <v>7364</v>
      </c>
    </row>
    <row r="35" spans="1:6" ht="18" customHeight="1" x14ac:dyDescent="0.35">
      <c r="A35" s="73" t="s">
        <v>22</v>
      </c>
      <c r="B35" s="50">
        <f t="shared" si="0"/>
        <v>18246</v>
      </c>
      <c r="C35" s="50">
        <v>9107</v>
      </c>
      <c r="D35" s="50">
        <v>9139</v>
      </c>
      <c r="E35" s="50">
        <v>869</v>
      </c>
      <c r="F35" s="46">
        <v>163</v>
      </c>
    </row>
    <row r="36" spans="1:6" ht="18" customHeight="1" x14ac:dyDescent="0.35">
      <c r="A36" s="72" t="s">
        <v>21</v>
      </c>
      <c r="B36" s="49">
        <f t="shared" si="0"/>
        <v>4339</v>
      </c>
      <c r="C36" s="49">
        <v>2123</v>
      </c>
      <c r="D36" s="49">
        <v>2216</v>
      </c>
      <c r="E36" s="49">
        <v>420</v>
      </c>
      <c r="F36" s="9">
        <v>307</v>
      </c>
    </row>
    <row r="37" spans="1:6" ht="18" customHeight="1" x14ac:dyDescent="0.35">
      <c r="A37" s="71" t="s">
        <v>3</v>
      </c>
      <c r="B37" s="66">
        <f t="shared" si="0"/>
        <v>1565319</v>
      </c>
      <c r="C37" s="66">
        <v>772632</v>
      </c>
      <c r="D37" s="66">
        <v>792687</v>
      </c>
      <c r="E37" s="66">
        <v>60775</v>
      </c>
      <c r="F37" s="70">
        <v>6637</v>
      </c>
    </row>
    <row r="38" spans="1:6" ht="18" customHeight="1" x14ac:dyDescent="0.35">
      <c r="A38" s="30" t="s">
        <v>2</v>
      </c>
      <c r="B38" s="44">
        <f t="shared" si="0"/>
        <v>154641</v>
      </c>
      <c r="C38" s="44">
        <v>76158</v>
      </c>
      <c r="D38" s="44">
        <v>78483</v>
      </c>
      <c r="E38" s="44">
        <v>8530</v>
      </c>
      <c r="F38" s="27">
        <v>1197</v>
      </c>
    </row>
    <row r="39" spans="1:6" ht="18" customHeight="1" x14ac:dyDescent="0.35">
      <c r="A39" s="69" t="s">
        <v>20</v>
      </c>
      <c r="B39" s="68">
        <f t="shared" si="0"/>
        <v>857837</v>
      </c>
      <c r="C39" s="68">
        <f>C40+C41+C42</f>
        <v>427501</v>
      </c>
      <c r="D39" s="68">
        <f>D40+D41+D42</f>
        <v>430336</v>
      </c>
      <c r="E39" s="68">
        <f>E40+E41+E42</f>
        <v>46430</v>
      </c>
      <c r="F39" s="67">
        <f>F40+F41+F42</f>
        <v>3963</v>
      </c>
    </row>
    <row r="40" spans="1:6" ht="18" customHeight="1" x14ac:dyDescent="0.35">
      <c r="A40" s="61" t="s">
        <v>19</v>
      </c>
      <c r="B40" s="11">
        <f t="shared" si="0"/>
        <v>570648</v>
      </c>
      <c r="C40" s="49">
        <v>284607</v>
      </c>
      <c r="D40" s="49">
        <v>286041</v>
      </c>
      <c r="E40" s="11">
        <v>32282</v>
      </c>
      <c r="F40" s="9">
        <v>2447</v>
      </c>
    </row>
    <row r="41" spans="1:6" ht="18" customHeight="1" x14ac:dyDescent="0.35">
      <c r="A41" s="62" t="s">
        <v>18</v>
      </c>
      <c r="B41" s="50">
        <f t="shared" si="0"/>
        <v>103286</v>
      </c>
      <c r="C41" s="50">
        <v>49991</v>
      </c>
      <c r="D41" s="50">
        <v>53295</v>
      </c>
      <c r="E41" s="50">
        <v>5336</v>
      </c>
      <c r="F41" s="46">
        <v>1046</v>
      </c>
    </row>
    <row r="42" spans="1:6" ht="18" customHeight="1" x14ac:dyDescent="0.35">
      <c r="A42" s="61" t="s">
        <v>17</v>
      </c>
      <c r="B42" s="49">
        <f t="shared" si="0"/>
        <v>183903</v>
      </c>
      <c r="C42" s="49">
        <v>92903</v>
      </c>
      <c r="D42" s="49">
        <v>91000</v>
      </c>
      <c r="E42" s="49">
        <v>8812</v>
      </c>
      <c r="F42" s="9">
        <v>470</v>
      </c>
    </row>
    <row r="43" spans="1:6" ht="18" customHeight="1" x14ac:dyDescent="0.35">
      <c r="A43" s="62" t="s">
        <v>3</v>
      </c>
      <c r="B43" s="66">
        <f t="shared" si="0"/>
        <v>788193</v>
      </c>
      <c r="C43" s="47">
        <v>391852</v>
      </c>
      <c r="D43" s="47">
        <v>396341</v>
      </c>
      <c r="E43" s="47">
        <v>39367</v>
      </c>
      <c r="F43" s="46">
        <v>3342</v>
      </c>
    </row>
    <row r="44" spans="1:6" ht="18" customHeight="1" x14ac:dyDescent="0.35">
      <c r="A44" s="30" t="s">
        <v>2</v>
      </c>
      <c r="B44" s="44">
        <f t="shared" si="0"/>
        <v>69644</v>
      </c>
      <c r="C44" s="44">
        <v>35649</v>
      </c>
      <c r="D44" s="44">
        <v>33995</v>
      </c>
      <c r="E44" s="44">
        <v>7063</v>
      </c>
      <c r="F44" s="27">
        <v>621</v>
      </c>
    </row>
    <row r="45" spans="1:6" ht="18" customHeight="1" x14ac:dyDescent="0.35">
      <c r="A45" s="65" t="s">
        <v>16</v>
      </c>
      <c r="B45" s="64">
        <f t="shared" ref="B45:B72" si="4">C45+D45</f>
        <v>647387</v>
      </c>
      <c r="C45" s="64">
        <f>C46+C47+C48+C49</f>
        <v>339159</v>
      </c>
      <c r="D45" s="64">
        <f>D46+D47+D48+D49</f>
        <v>308228</v>
      </c>
      <c r="E45" s="64">
        <f>E46+E47+E48+E49</f>
        <v>60230</v>
      </c>
      <c r="F45" s="63">
        <f>F46+F47+F48+F49</f>
        <v>2250</v>
      </c>
    </row>
    <row r="46" spans="1:6" ht="18" customHeight="1" x14ac:dyDescent="0.35">
      <c r="A46" s="61" t="s">
        <v>9</v>
      </c>
      <c r="B46" s="59">
        <f t="shared" si="4"/>
        <v>408964</v>
      </c>
      <c r="C46" s="49">
        <v>222653</v>
      </c>
      <c r="D46" s="49">
        <v>186311</v>
      </c>
      <c r="E46" s="49">
        <v>31851</v>
      </c>
      <c r="F46" s="9">
        <v>1591</v>
      </c>
    </row>
    <row r="47" spans="1:6" ht="18" customHeight="1" x14ac:dyDescent="0.35">
      <c r="A47" s="62" t="s">
        <v>8</v>
      </c>
      <c r="B47" s="47">
        <f t="shared" si="4"/>
        <v>188547</v>
      </c>
      <c r="C47" s="50">
        <v>93455</v>
      </c>
      <c r="D47" s="50">
        <v>95092</v>
      </c>
      <c r="E47" s="50">
        <v>22541</v>
      </c>
      <c r="F47" s="46">
        <v>561</v>
      </c>
    </row>
    <row r="48" spans="1:6" ht="18" customHeight="1" x14ac:dyDescent="0.35">
      <c r="A48" s="61" t="s">
        <v>15</v>
      </c>
      <c r="B48" s="11">
        <f t="shared" si="4"/>
        <v>48029</v>
      </c>
      <c r="C48" s="11">
        <v>22018</v>
      </c>
      <c r="D48" s="11">
        <v>26011</v>
      </c>
      <c r="E48" s="11">
        <v>5289</v>
      </c>
      <c r="F48" s="9">
        <v>71</v>
      </c>
    </row>
    <row r="49" spans="1:6" ht="18" customHeight="1" x14ac:dyDescent="0.35">
      <c r="A49" s="48" t="s">
        <v>7</v>
      </c>
      <c r="B49" s="47">
        <f t="shared" si="4"/>
        <v>1847</v>
      </c>
      <c r="C49" s="50">
        <v>1033</v>
      </c>
      <c r="D49" s="60">
        <v>814</v>
      </c>
      <c r="E49" s="47">
        <v>549</v>
      </c>
      <c r="F49" s="46">
        <v>27</v>
      </c>
    </row>
    <row r="50" spans="1:6" ht="18" customHeight="1" x14ac:dyDescent="0.35">
      <c r="A50" s="34" t="s">
        <v>3</v>
      </c>
      <c r="B50" s="59">
        <f t="shared" si="4"/>
        <v>556864</v>
      </c>
      <c r="C50" s="59">
        <v>290707</v>
      </c>
      <c r="D50" s="59">
        <v>266157</v>
      </c>
      <c r="E50" s="59">
        <v>48136</v>
      </c>
      <c r="F50" s="9">
        <v>1669</v>
      </c>
    </row>
    <row r="51" spans="1:6" ht="18" customHeight="1" x14ac:dyDescent="0.35">
      <c r="A51" s="58" t="s">
        <v>2</v>
      </c>
      <c r="B51" s="57">
        <f t="shared" si="4"/>
        <v>90523</v>
      </c>
      <c r="C51" s="57">
        <v>48452</v>
      </c>
      <c r="D51" s="57">
        <v>42071</v>
      </c>
      <c r="E51" s="57">
        <v>12094</v>
      </c>
      <c r="F51" s="56">
        <v>581</v>
      </c>
    </row>
    <row r="52" spans="1:6" ht="18" customHeight="1" x14ac:dyDescent="0.35">
      <c r="A52" s="55" t="s">
        <v>14</v>
      </c>
      <c r="B52" s="54">
        <f t="shared" si="4"/>
        <v>437011</v>
      </c>
      <c r="C52" s="54">
        <f>C54+C55+C56</f>
        <v>231914</v>
      </c>
      <c r="D52" s="54">
        <f>D54+D55+D56</f>
        <v>205097</v>
      </c>
      <c r="E52" s="54">
        <f>E54+E55+E56</f>
        <v>44316</v>
      </c>
      <c r="F52" s="53">
        <f>F57+F58</f>
        <v>565</v>
      </c>
    </row>
    <row r="53" spans="1:6" ht="18" customHeight="1" x14ac:dyDescent="0.35">
      <c r="A53" s="48" t="s">
        <v>5</v>
      </c>
      <c r="B53" s="47">
        <f t="shared" si="4"/>
        <v>415547</v>
      </c>
      <c r="C53" s="50">
        <f>C54+C55</f>
        <v>219464</v>
      </c>
      <c r="D53" s="47">
        <f>D54+D55</f>
        <v>196083</v>
      </c>
      <c r="E53" s="47">
        <f>E54+E55</f>
        <v>38894</v>
      </c>
      <c r="F53" s="46">
        <f>F54+F55</f>
        <v>519</v>
      </c>
    </row>
    <row r="54" spans="1:6" ht="18" customHeight="1" x14ac:dyDescent="0.35">
      <c r="A54" s="52" t="s">
        <v>13</v>
      </c>
      <c r="B54" s="11">
        <f t="shared" si="4"/>
        <v>16914</v>
      </c>
      <c r="C54" s="49">
        <v>12006</v>
      </c>
      <c r="D54" s="11">
        <v>4908</v>
      </c>
      <c r="E54" s="11">
        <v>1701</v>
      </c>
      <c r="F54" s="9">
        <v>42</v>
      </c>
    </row>
    <row r="55" spans="1:6" ht="18" customHeight="1" x14ac:dyDescent="0.35">
      <c r="A55" s="51" t="s">
        <v>12</v>
      </c>
      <c r="B55" s="47">
        <f t="shared" si="4"/>
        <v>398633</v>
      </c>
      <c r="C55" s="50">
        <v>207458</v>
      </c>
      <c r="D55" s="47">
        <v>191175</v>
      </c>
      <c r="E55" s="47">
        <v>37193</v>
      </c>
      <c r="F55" s="46">
        <v>477</v>
      </c>
    </row>
    <row r="56" spans="1:6" ht="18" customHeight="1" x14ac:dyDescent="0.35">
      <c r="A56" s="34" t="s">
        <v>4</v>
      </c>
      <c r="B56" s="11">
        <f t="shared" si="4"/>
        <v>21464</v>
      </c>
      <c r="C56" s="49">
        <v>12450</v>
      </c>
      <c r="D56" s="11">
        <v>9014</v>
      </c>
      <c r="E56" s="11">
        <v>5422</v>
      </c>
      <c r="F56" s="9">
        <v>248</v>
      </c>
    </row>
    <row r="57" spans="1:6" ht="18" customHeight="1" x14ac:dyDescent="0.35">
      <c r="A57" s="48" t="s">
        <v>3</v>
      </c>
      <c r="B57" s="47">
        <f t="shared" si="4"/>
        <v>270855</v>
      </c>
      <c r="C57" s="47">
        <v>136720</v>
      </c>
      <c r="D57" s="47">
        <v>134135</v>
      </c>
      <c r="E57" s="47">
        <v>26188</v>
      </c>
      <c r="F57" s="46">
        <v>213</v>
      </c>
    </row>
    <row r="58" spans="1:6" ht="18" customHeight="1" x14ac:dyDescent="0.35">
      <c r="A58" s="30" t="s">
        <v>2</v>
      </c>
      <c r="B58" s="45">
        <f t="shared" si="4"/>
        <v>166156</v>
      </c>
      <c r="C58" s="44">
        <v>95194</v>
      </c>
      <c r="D58" s="44">
        <v>70962</v>
      </c>
      <c r="E58" s="44">
        <v>18128</v>
      </c>
      <c r="F58" s="27">
        <v>352</v>
      </c>
    </row>
    <row r="59" spans="1:6" ht="18" customHeight="1" x14ac:dyDescent="0.35">
      <c r="A59" s="43" t="s">
        <v>11</v>
      </c>
      <c r="B59" s="42">
        <f t="shared" si="4"/>
        <v>120195</v>
      </c>
      <c r="C59" s="42">
        <f>C60+C61</f>
        <v>69056</v>
      </c>
      <c r="D59" s="42">
        <f>D60+D61</f>
        <v>51139</v>
      </c>
      <c r="E59" s="42">
        <f>E60+E61</f>
        <v>10814</v>
      </c>
      <c r="F59" s="41">
        <f>F60+F61</f>
        <v>235</v>
      </c>
    </row>
    <row r="60" spans="1:6" ht="18" customHeight="1" x14ac:dyDescent="0.35">
      <c r="A60" s="40" t="s">
        <v>3</v>
      </c>
      <c r="B60" s="39">
        <f t="shared" si="4"/>
        <v>48604</v>
      </c>
      <c r="C60" s="39">
        <f t="shared" ref="C60:F61" si="5">C66+C71</f>
        <v>28739</v>
      </c>
      <c r="D60" s="39">
        <f t="shared" si="5"/>
        <v>19865</v>
      </c>
      <c r="E60" s="39">
        <f t="shared" si="5"/>
        <v>2802</v>
      </c>
      <c r="F60" s="39">
        <f t="shared" si="5"/>
        <v>68</v>
      </c>
    </row>
    <row r="61" spans="1:6" ht="18" customHeight="1" x14ac:dyDescent="0.35">
      <c r="A61" s="38" t="s">
        <v>2</v>
      </c>
      <c r="B61" s="37">
        <f t="shared" si="4"/>
        <v>71591</v>
      </c>
      <c r="C61" s="37">
        <f t="shared" si="5"/>
        <v>40317</v>
      </c>
      <c r="D61" s="37">
        <f t="shared" si="5"/>
        <v>31274</v>
      </c>
      <c r="E61" s="37">
        <f t="shared" si="5"/>
        <v>8012</v>
      </c>
      <c r="F61" s="37">
        <f t="shared" si="5"/>
        <v>167</v>
      </c>
    </row>
    <row r="62" spans="1:6" x14ac:dyDescent="0.35">
      <c r="A62" s="26" t="s">
        <v>10</v>
      </c>
      <c r="B62" s="25">
        <f t="shared" si="4"/>
        <v>8450</v>
      </c>
      <c r="C62" s="25">
        <f>C63+C64+C65</f>
        <v>4606</v>
      </c>
      <c r="D62" s="25">
        <f>D63+D64+D65</f>
        <v>3844</v>
      </c>
      <c r="E62" s="25">
        <f>E63+E64+E65</f>
        <v>150</v>
      </c>
      <c r="F62" s="24">
        <f>F66+F67</f>
        <v>22</v>
      </c>
    </row>
    <row r="63" spans="1:6" x14ac:dyDescent="0.35">
      <c r="A63" s="36" t="s">
        <v>9</v>
      </c>
      <c r="B63" s="21">
        <f t="shared" si="4"/>
        <v>8450</v>
      </c>
      <c r="C63" s="22">
        <v>4606</v>
      </c>
      <c r="D63" s="21">
        <v>3844</v>
      </c>
      <c r="E63" s="20">
        <v>150</v>
      </c>
      <c r="F63" s="19">
        <v>22</v>
      </c>
    </row>
    <row r="64" spans="1:6" x14ac:dyDescent="0.35">
      <c r="A64" s="32" t="s">
        <v>8</v>
      </c>
      <c r="B64" s="35">
        <f t="shared" si="4"/>
        <v>0</v>
      </c>
      <c r="C64" s="35">
        <v>0</v>
      </c>
      <c r="D64" s="35">
        <v>0</v>
      </c>
      <c r="E64" s="14">
        <v>0</v>
      </c>
      <c r="F64" s="13">
        <v>0</v>
      </c>
    </row>
    <row r="65" spans="1:15" x14ac:dyDescent="0.35">
      <c r="A65" s="34" t="s">
        <v>7</v>
      </c>
      <c r="B65" s="29">
        <f t="shared" si="4"/>
        <v>0</v>
      </c>
      <c r="C65" s="29">
        <v>0</v>
      </c>
      <c r="D65" s="29">
        <v>0</v>
      </c>
      <c r="E65" s="33">
        <v>0</v>
      </c>
      <c r="F65" s="9">
        <v>0</v>
      </c>
    </row>
    <row r="66" spans="1:15" x14ac:dyDescent="0.35">
      <c r="A66" s="32" t="s">
        <v>3</v>
      </c>
      <c r="B66" s="15">
        <f t="shared" si="4"/>
        <v>8450</v>
      </c>
      <c r="C66" s="15">
        <v>4606</v>
      </c>
      <c r="D66" s="15">
        <v>3844</v>
      </c>
      <c r="E66" s="31">
        <v>150</v>
      </c>
      <c r="F66" s="13">
        <v>22</v>
      </c>
    </row>
    <row r="67" spans="1:15" x14ac:dyDescent="0.35">
      <c r="A67" s="30" t="s">
        <v>2</v>
      </c>
      <c r="B67" s="29">
        <f t="shared" si="4"/>
        <v>0</v>
      </c>
      <c r="C67" s="29">
        <v>0</v>
      </c>
      <c r="D67" s="29">
        <v>0</v>
      </c>
      <c r="E67" s="28">
        <v>0</v>
      </c>
      <c r="F67" s="27">
        <v>0</v>
      </c>
    </row>
    <row r="68" spans="1:15" x14ac:dyDescent="0.35">
      <c r="A68" s="26" t="s">
        <v>6</v>
      </c>
      <c r="B68" s="25">
        <f t="shared" si="4"/>
        <v>111745</v>
      </c>
      <c r="C68" s="25">
        <f>C69+C70</f>
        <v>64450</v>
      </c>
      <c r="D68" s="25">
        <f>D69+D70</f>
        <v>47295</v>
      </c>
      <c r="E68" s="25">
        <f>E71+E72</f>
        <v>10664</v>
      </c>
      <c r="F68" s="24">
        <f>F71+F72</f>
        <v>213</v>
      </c>
    </row>
    <row r="69" spans="1:15" x14ac:dyDescent="0.35">
      <c r="A69" s="23" t="s">
        <v>5</v>
      </c>
      <c r="B69" s="21">
        <f t="shared" si="4"/>
        <v>100124</v>
      </c>
      <c r="C69" s="22">
        <v>57314</v>
      </c>
      <c r="D69" s="21">
        <v>42810</v>
      </c>
      <c r="E69" s="20">
        <v>8835</v>
      </c>
      <c r="F69" s="19">
        <v>197</v>
      </c>
      <c r="G69" s="18"/>
    </row>
    <row r="70" spans="1:15" x14ac:dyDescent="0.35">
      <c r="A70" s="17" t="s">
        <v>4</v>
      </c>
      <c r="B70" s="15">
        <f t="shared" si="4"/>
        <v>11621</v>
      </c>
      <c r="C70" s="16">
        <v>7136</v>
      </c>
      <c r="D70" s="15">
        <v>4485</v>
      </c>
      <c r="E70" s="14">
        <v>1829</v>
      </c>
      <c r="F70" s="13">
        <v>75</v>
      </c>
    </row>
    <row r="71" spans="1:15" x14ac:dyDescent="0.35">
      <c r="A71" s="12" t="s">
        <v>3</v>
      </c>
      <c r="B71" s="11">
        <f t="shared" si="4"/>
        <v>40154</v>
      </c>
      <c r="C71" s="11">
        <v>24133</v>
      </c>
      <c r="D71" s="11">
        <v>16021</v>
      </c>
      <c r="E71" s="10">
        <v>2652</v>
      </c>
      <c r="F71" s="9">
        <v>46</v>
      </c>
    </row>
    <row r="72" spans="1:15" x14ac:dyDescent="0.35">
      <c r="A72" s="8" t="s">
        <v>2</v>
      </c>
      <c r="B72" s="6">
        <f t="shared" si="4"/>
        <v>71591</v>
      </c>
      <c r="C72" s="7">
        <v>40317</v>
      </c>
      <c r="D72" s="6">
        <v>31274</v>
      </c>
      <c r="E72" s="5">
        <v>8012</v>
      </c>
      <c r="F72" s="4">
        <v>167</v>
      </c>
    </row>
    <row r="73" spans="1:15" x14ac:dyDescent="0.35">
      <c r="F73" s="3" t="s">
        <v>1</v>
      </c>
    </row>
    <row r="74" spans="1:15" ht="41.1" customHeight="1" x14ac:dyDescent="0.35">
      <c r="A74" s="146" t="s">
        <v>0</v>
      </c>
      <c r="B74" s="146"/>
      <c r="C74" s="146"/>
      <c r="D74" s="146"/>
      <c r="E74" s="146"/>
      <c r="F74" s="146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AC4A-5A21-43B1-9743-CD42B1879105}">
  <sheetPr codeName="Hoja2">
    <tabColor rgb="FFD4C19C"/>
    <pageSetUpPr fitToPage="1"/>
  </sheetPr>
  <dimension ref="A1:J67"/>
  <sheetViews>
    <sheetView showGridLines="0" showZeros="0" topLeftCell="A16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3">
        <v>27</v>
      </c>
      <c r="C1" s="93">
        <v>28</v>
      </c>
      <c r="D1" s="93" t="e">
        <v>#VALUE!</v>
      </c>
      <c r="E1" s="93">
        <v>29</v>
      </c>
      <c r="F1" s="93" t="e">
        <v>#VALUE!</v>
      </c>
    </row>
    <row r="3" spans="1:10" ht="13.5" customHeight="1" x14ac:dyDescent="0.35">
      <c r="C3" s="89"/>
      <c r="D3" s="89"/>
      <c r="E3" s="89"/>
      <c r="F3" s="89" t="s">
        <v>41</v>
      </c>
    </row>
    <row r="4" spans="1:10" ht="3" customHeight="1" x14ac:dyDescent="0.35">
      <c r="C4" s="89"/>
      <c r="D4" s="89"/>
      <c r="E4" s="89"/>
      <c r="F4" s="89"/>
    </row>
    <row r="5" spans="1:10" ht="15" customHeight="1" x14ac:dyDescent="0.35">
      <c r="C5" s="89"/>
      <c r="D5" s="89"/>
      <c r="E5" s="89"/>
      <c r="F5" s="89" t="s">
        <v>40</v>
      </c>
    </row>
    <row r="6" spans="1:10" ht="3.75" customHeight="1" x14ac:dyDescent="0.35"/>
    <row r="7" spans="1:10" s="1" customFormat="1" ht="15.75" customHeight="1" x14ac:dyDescent="0.35">
      <c r="A7" s="140" t="s">
        <v>29</v>
      </c>
      <c r="B7" s="140"/>
      <c r="C7" s="140"/>
      <c r="D7" s="140"/>
      <c r="E7" s="140"/>
      <c r="F7" s="140"/>
      <c r="H7" s="2"/>
      <c r="I7" s="2"/>
    </row>
    <row r="8" spans="1:10" s="1" customFormat="1" ht="15.75" customHeight="1" x14ac:dyDescent="0.35">
      <c r="A8" s="140" t="s">
        <v>76</v>
      </c>
      <c r="B8" s="140"/>
      <c r="C8" s="140"/>
      <c r="D8" s="140"/>
      <c r="E8" s="140"/>
      <c r="F8" s="140"/>
      <c r="H8" s="2"/>
      <c r="I8" s="2"/>
    </row>
    <row r="9" spans="1:10" s="1" customFormat="1" ht="3" customHeight="1" x14ac:dyDescent="0.35">
      <c r="A9" s="145"/>
      <c r="B9" s="144"/>
      <c r="C9" s="143"/>
      <c r="D9" s="142"/>
      <c r="E9" s="143"/>
      <c r="F9" s="142"/>
      <c r="H9" s="139"/>
      <c r="I9" s="2"/>
    </row>
    <row r="10" spans="1:10" s="1" customFormat="1" ht="15.75" customHeight="1" x14ac:dyDescent="0.35">
      <c r="A10" s="141" t="s">
        <v>38</v>
      </c>
      <c r="B10" s="141"/>
      <c r="C10" s="140"/>
      <c r="D10" s="140"/>
      <c r="E10" s="140"/>
      <c r="F10" s="140"/>
      <c r="H10" s="139"/>
      <c r="I10" s="2"/>
    </row>
    <row r="11" spans="1:10" ht="18" customHeight="1" x14ac:dyDescent="0.35">
      <c r="A11" s="152" t="s">
        <v>75</v>
      </c>
      <c r="B11" s="138" t="s">
        <v>74</v>
      </c>
      <c r="C11" s="137" t="s">
        <v>73</v>
      </c>
      <c r="D11" s="136"/>
      <c r="E11" s="137" t="s">
        <v>72</v>
      </c>
      <c r="F11" s="136"/>
    </row>
    <row r="12" spans="1:10" ht="21.75" customHeight="1" x14ac:dyDescent="0.35">
      <c r="A12" s="153"/>
      <c r="B12" s="135" t="s">
        <v>71</v>
      </c>
      <c r="C12" s="134" t="s">
        <v>71</v>
      </c>
      <c r="D12" s="132" t="s">
        <v>70</v>
      </c>
      <c r="E12" s="133" t="s">
        <v>71</v>
      </c>
      <c r="F12" s="132" t="s">
        <v>70</v>
      </c>
    </row>
    <row r="13" spans="1:10" x14ac:dyDescent="0.35">
      <c r="A13" s="131" t="s">
        <v>28</v>
      </c>
      <c r="B13" s="130"/>
      <c r="C13" s="129"/>
      <c r="D13" s="129"/>
      <c r="E13" s="128"/>
      <c r="F13" s="127"/>
      <c r="H13" s="90"/>
    </row>
    <row r="14" spans="1:10" x14ac:dyDescent="0.35">
      <c r="A14" s="107" t="s">
        <v>69</v>
      </c>
      <c r="B14" s="106">
        <v>91.249318950496189</v>
      </c>
      <c r="C14" s="106">
        <v>88.453419772491117</v>
      </c>
      <c r="D14" s="105">
        <v>90.548895792070439</v>
      </c>
      <c r="E14" s="104">
        <v>89.956665973712646</v>
      </c>
      <c r="F14" s="103">
        <v>92.175076705359459</v>
      </c>
      <c r="H14" s="90"/>
      <c r="I14" s="90"/>
      <c r="J14" s="90"/>
    </row>
    <row r="15" spans="1:10" x14ac:dyDescent="0.35">
      <c r="A15" s="112" t="s">
        <v>68</v>
      </c>
      <c r="B15" s="111">
        <v>90.615993682413631</v>
      </c>
      <c r="C15" s="111">
        <v>87.919498289225004</v>
      </c>
      <c r="D15" s="110">
        <v>89.822984263753895</v>
      </c>
      <c r="E15" s="109">
        <v>89.41367305648356</v>
      </c>
      <c r="F15" s="108">
        <v>91.436409983971117</v>
      </c>
      <c r="H15" s="90"/>
      <c r="I15" s="90"/>
      <c r="J15" s="90"/>
    </row>
    <row r="16" spans="1:10" x14ac:dyDescent="0.35">
      <c r="A16" s="126" t="s">
        <v>26</v>
      </c>
      <c r="B16" s="125"/>
      <c r="C16" s="125"/>
      <c r="D16" s="125"/>
      <c r="E16" s="125"/>
      <c r="F16" s="124"/>
      <c r="H16" s="90"/>
      <c r="I16" s="90"/>
      <c r="J16" s="90"/>
    </row>
    <row r="17" spans="1:10" x14ac:dyDescent="0.35">
      <c r="A17" s="107" t="s">
        <v>67</v>
      </c>
      <c r="B17" s="106">
        <v>26.945165996512827</v>
      </c>
      <c r="C17" s="106">
        <v>24.096320618475222</v>
      </c>
      <c r="D17" s="105">
        <v>38.580942141638275</v>
      </c>
      <c r="E17" s="104">
        <v>35.928408711676028</v>
      </c>
      <c r="F17" s="103">
        <v>48.361513668823143</v>
      </c>
      <c r="H17" s="90"/>
      <c r="I17" s="90"/>
      <c r="J17" s="90"/>
    </row>
    <row r="18" spans="1:10" x14ac:dyDescent="0.35">
      <c r="A18" s="112" t="s">
        <v>66</v>
      </c>
      <c r="B18" s="111">
        <v>71.983918486295622</v>
      </c>
      <c r="C18" s="111">
        <v>68.128707914833782</v>
      </c>
      <c r="D18" s="110">
        <v>77.998743134706629</v>
      </c>
      <c r="E18" s="109">
        <v>83.484604079291685</v>
      </c>
      <c r="F18" s="108">
        <v>88.525570726115859</v>
      </c>
      <c r="H18" s="90"/>
      <c r="I18" s="90"/>
      <c r="J18" s="90"/>
    </row>
    <row r="19" spans="1:10" x14ac:dyDescent="0.35">
      <c r="A19" s="107" t="s">
        <v>65</v>
      </c>
      <c r="B19" s="106">
        <v>72.602560150788847</v>
      </c>
      <c r="C19" s="106">
        <v>70.075639536530772</v>
      </c>
      <c r="D19" s="105">
        <v>73.121669901048492</v>
      </c>
      <c r="E19" s="104">
        <v>77.110574416699478</v>
      </c>
      <c r="F19" s="103">
        <v>77.265666530891224</v>
      </c>
      <c r="H19" s="90"/>
      <c r="I19" s="90"/>
      <c r="J19" s="90"/>
    </row>
    <row r="20" spans="1:10" x14ac:dyDescent="0.35">
      <c r="A20" s="112" t="s">
        <v>64</v>
      </c>
      <c r="B20" s="111">
        <v>57.217552185979173</v>
      </c>
      <c r="C20" s="111">
        <v>54.231584195438117</v>
      </c>
      <c r="D20" s="110">
        <v>63.307350306076884</v>
      </c>
      <c r="E20" s="109">
        <v>65.665972204790947</v>
      </c>
      <c r="F20" s="108">
        <v>71.448553833817613</v>
      </c>
      <c r="H20" s="90"/>
      <c r="I20" s="90"/>
      <c r="J20" s="90"/>
    </row>
    <row r="21" spans="1:10" x14ac:dyDescent="0.35">
      <c r="A21" s="107" t="s">
        <v>63</v>
      </c>
      <c r="B21" s="106">
        <v>57.338095114166812</v>
      </c>
      <c r="C21" s="106">
        <v>54.335214828795785</v>
      </c>
      <c r="D21" s="105">
        <v>63.672054942229941</v>
      </c>
      <c r="E21" s="104">
        <v>65.791477363052948</v>
      </c>
      <c r="F21" s="103">
        <v>71.858408255034533</v>
      </c>
      <c r="H21" s="90"/>
      <c r="I21" s="90"/>
      <c r="J21" s="90"/>
    </row>
    <row r="22" spans="1:10" x14ac:dyDescent="0.35">
      <c r="A22" s="126" t="s">
        <v>24</v>
      </c>
      <c r="B22" s="125"/>
      <c r="C22" s="125"/>
      <c r="D22" s="125"/>
      <c r="E22" s="125"/>
      <c r="F22" s="124"/>
      <c r="H22" s="90"/>
      <c r="I22" s="90"/>
      <c r="J22" s="90"/>
    </row>
    <row r="23" spans="1:10" x14ac:dyDescent="0.35">
      <c r="A23" s="107" t="s">
        <v>50</v>
      </c>
      <c r="B23" s="106">
        <v>1.5008827567801863</v>
      </c>
      <c r="C23" s="106">
        <v>1.3696830158840934</v>
      </c>
      <c r="D23" s="105">
        <v>0.43876962396363073</v>
      </c>
      <c r="E23" s="106">
        <v>1.2696277897418673</v>
      </c>
      <c r="F23" s="103">
        <v>0.39712680772554521</v>
      </c>
      <c r="H23" s="90"/>
      <c r="I23" s="90"/>
      <c r="J23" s="90"/>
    </row>
    <row r="24" spans="1:10" x14ac:dyDescent="0.35">
      <c r="A24" s="112" t="s">
        <v>58</v>
      </c>
      <c r="B24" s="111">
        <v>6.2758802807005853E-2</v>
      </c>
      <c r="C24" s="111">
        <v>9.9000590499098706E-2</v>
      </c>
      <c r="D24" s="110">
        <v>0.47104009397397339</v>
      </c>
      <c r="E24" s="111">
        <v>0.13524213990516731</v>
      </c>
      <c r="F24" s="108">
        <v>0.45218297092196602</v>
      </c>
      <c r="H24" s="90"/>
      <c r="I24" s="90"/>
      <c r="J24" s="90"/>
    </row>
    <row r="25" spans="1:10" x14ac:dyDescent="0.35">
      <c r="A25" s="107" t="s">
        <v>57</v>
      </c>
      <c r="B25" s="106">
        <v>96.480519970330519</v>
      </c>
      <c r="C25" s="106">
        <v>94.975549413379198</v>
      </c>
      <c r="D25" s="105">
        <v>96.9551648474215</v>
      </c>
      <c r="E25" s="106">
        <v>94.279976533237061</v>
      </c>
      <c r="F25" s="103">
        <v>98.150026946338286</v>
      </c>
      <c r="H25" s="90"/>
      <c r="I25" s="90"/>
      <c r="J25" s="90"/>
    </row>
    <row r="26" spans="1:10" x14ac:dyDescent="0.35">
      <c r="A26" s="112" t="s">
        <v>56</v>
      </c>
      <c r="B26" s="111">
        <v>105.13960434020166</v>
      </c>
      <c r="C26" s="111">
        <v>101.49859538957284</v>
      </c>
      <c r="D26" s="110">
        <v>101.9341223948949</v>
      </c>
      <c r="E26" s="111">
        <v>101.26827275308325</v>
      </c>
      <c r="F26" s="108">
        <v>103.78941864704068</v>
      </c>
      <c r="H26" s="90"/>
      <c r="I26" s="90"/>
      <c r="J26" s="90"/>
    </row>
    <row r="27" spans="1:10" x14ac:dyDescent="0.35">
      <c r="A27" s="107" t="s">
        <v>62</v>
      </c>
      <c r="B27" s="106">
        <v>103.62172968092875</v>
      </c>
      <c r="C27" s="106">
        <v>100.3733742928473</v>
      </c>
      <c r="D27" s="105">
        <v>101.72046958709984</v>
      </c>
      <c r="E27" s="106">
        <v>98.935803242781049</v>
      </c>
      <c r="F27" s="103">
        <v>101.19578388660526</v>
      </c>
      <c r="H27" s="90"/>
      <c r="I27" s="90"/>
      <c r="J27" s="90"/>
    </row>
    <row r="28" spans="1:10" x14ac:dyDescent="0.35">
      <c r="A28" s="112" t="s">
        <v>61</v>
      </c>
      <c r="B28" s="111">
        <v>98.480198131968294</v>
      </c>
      <c r="C28" s="111">
        <v>95.547870459312236</v>
      </c>
      <c r="D28" s="110">
        <v>96.314695429046509</v>
      </c>
      <c r="E28" s="111">
        <v>94.179392498323551</v>
      </c>
      <c r="F28" s="108">
        <v>95.816612827648669</v>
      </c>
      <c r="H28" s="90"/>
      <c r="I28" s="90"/>
      <c r="J28" s="90"/>
    </row>
    <row r="29" spans="1:10" x14ac:dyDescent="0.35">
      <c r="A29" s="126" t="s">
        <v>20</v>
      </c>
      <c r="B29" s="125"/>
      <c r="C29" s="125"/>
      <c r="D29" s="125"/>
      <c r="E29" s="125"/>
      <c r="F29" s="124"/>
      <c r="H29" s="90"/>
      <c r="I29" s="90"/>
      <c r="J29" s="90"/>
    </row>
    <row r="30" spans="1:10" x14ac:dyDescent="0.35">
      <c r="A30" s="107" t="s">
        <v>51</v>
      </c>
      <c r="B30" s="106">
        <v>92.957133438734161</v>
      </c>
      <c r="C30" s="106">
        <v>93.436577690618748</v>
      </c>
      <c r="D30" s="105">
        <v>93.105822485612947</v>
      </c>
      <c r="E30" s="104">
        <v>94.599847367082162</v>
      </c>
      <c r="F30" s="103">
        <v>95.031628893548429</v>
      </c>
      <c r="H30" s="90"/>
      <c r="I30" s="90"/>
      <c r="J30" s="90"/>
    </row>
    <row r="31" spans="1:10" x14ac:dyDescent="0.35">
      <c r="A31" s="112" t="s">
        <v>50</v>
      </c>
      <c r="B31" s="111">
        <v>2.4197778639359568</v>
      </c>
      <c r="C31" s="111">
        <v>2.1445799143660182</v>
      </c>
      <c r="D31" s="110">
        <v>2.54778221710249</v>
      </c>
      <c r="E31" s="109">
        <v>1.9903216391477518</v>
      </c>
      <c r="F31" s="108">
        <v>2.2918429271874818</v>
      </c>
      <c r="H31" s="90"/>
      <c r="I31" s="90"/>
      <c r="J31" s="90"/>
    </row>
    <row r="32" spans="1:10" x14ac:dyDescent="0.35">
      <c r="A32" s="107" t="s">
        <v>58</v>
      </c>
      <c r="B32" s="106">
        <v>0.33692660445069356</v>
      </c>
      <c r="C32" s="106">
        <v>0.31656708922545018</v>
      </c>
      <c r="D32" s="105">
        <v>2.2384648038226818</v>
      </c>
      <c r="E32" s="104">
        <v>0.29617116300652002</v>
      </c>
      <c r="F32" s="103">
        <v>2.1403697727291782</v>
      </c>
      <c r="H32" s="90"/>
      <c r="I32" s="90"/>
      <c r="J32" s="90"/>
    </row>
    <row r="33" spans="1:10" x14ac:dyDescent="0.35">
      <c r="A33" s="112" t="s">
        <v>57</v>
      </c>
      <c r="B33" s="111">
        <v>92.985636181928626</v>
      </c>
      <c r="C33" s="111">
        <v>93.77061122431904</v>
      </c>
      <c r="D33" s="110">
        <v>92.865387576774694</v>
      </c>
      <c r="E33" s="109">
        <v>93.594466555575451</v>
      </c>
      <c r="F33" s="108">
        <v>92.527364626036132</v>
      </c>
      <c r="H33" s="90"/>
      <c r="I33" s="90"/>
      <c r="J33" s="90"/>
    </row>
    <row r="34" spans="1:10" x14ac:dyDescent="0.35">
      <c r="A34" s="107" t="s">
        <v>56</v>
      </c>
      <c r="B34" s="106">
        <v>96.076737476167168</v>
      </c>
      <c r="C34" s="106">
        <v>96.915485315064771</v>
      </c>
      <c r="D34" s="105">
        <v>91.876923795994145</v>
      </c>
      <c r="E34" s="104">
        <v>92.693863076849638</v>
      </c>
      <c r="F34" s="103">
        <v>89.804444151920364</v>
      </c>
      <c r="H34" s="90"/>
      <c r="I34" s="90"/>
      <c r="J34" s="90"/>
    </row>
    <row r="35" spans="1:10" x14ac:dyDescent="0.35">
      <c r="A35" s="112" t="s">
        <v>60</v>
      </c>
      <c r="B35" s="111">
        <v>99.622046492711874</v>
      </c>
      <c r="C35" s="111">
        <v>97.948849110699811</v>
      </c>
      <c r="D35" s="110">
        <v>94.670888333927934</v>
      </c>
      <c r="E35" s="109">
        <v>95.564067188077502</v>
      </c>
      <c r="F35" s="108">
        <v>94.056932269296951</v>
      </c>
      <c r="H35" s="90"/>
      <c r="I35" s="90"/>
      <c r="J35" s="90"/>
    </row>
    <row r="36" spans="1:10" x14ac:dyDescent="0.35">
      <c r="A36" s="107" t="s">
        <v>59</v>
      </c>
      <c r="B36" s="106">
        <v>88.350239188791576</v>
      </c>
      <c r="C36" s="106">
        <v>87.434588451029398</v>
      </c>
      <c r="D36" s="105">
        <v>83.855666307503625</v>
      </c>
      <c r="E36" s="104">
        <v>85.305764520342592</v>
      </c>
      <c r="F36" s="123">
        <v>83.305904438452842</v>
      </c>
      <c r="H36" s="90"/>
      <c r="I36" s="90"/>
      <c r="J36" s="90"/>
    </row>
    <row r="37" spans="1:10" x14ac:dyDescent="0.35">
      <c r="A37" s="122" t="s">
        <v>10</v>
      </c>
      <c r="B37" s="121"/>
      <c r="C37" s="121"/>
      <c r="D37" s="121"/>
      <c r="E37" s="121"/>
      <c r="F37" s="120"/>
      <c r="H37" s="90"/>
      <c r="I37" s="90"/>
      <c r="J37" s="90"/>
    </row>
    <row r="38" spans="1:10" x14ac:dyDescent="0.35">
      <c r="A38" s="107" t="s">
        <v>51</v>
      </c>
      <c r="B38" s="106">
        <v>86.718641878488725</v>
      </c>
      <c r="C38" s="106">
        <v>85.018738431170078</v>
      </c>
      <c r="D38" s="105">
        <v>90.303209142071765</v>
      </c>
      <c r="E38" s="104">
        <v>86.009833254597311</v>
      </c>
      <c r="F38" s="103">
        <v>91.299275514381847</v>
      </c>
      <c r="H38" s="90"/>
      <c r="I38" s="90"/>
      <c r="J38" s="90"/>
    </row>
    <row r="39" spans="1:10" x14ac:dyDescent="0.35">
      <c r="A39" s="112" t="s">
        <v>50</v>
      </c>
      <c r="B39" s="111">
        <v>10.329786781808137</v>
      </c>
      <c r="C39" s="111">
        <v>7.7828254197257589</v>
      </c>
      <c r="D39" s="110">
        <v>9.2482325469735116</v>
      </c>
      <c r="E39" s="109">
        <v>7.8665168134669177</v>
      </c>
      <c r="F39" s="108">
        <v>9.2356339587371004</v>
      </c>
      <c r="H39" s="90"/>
      <c r="I39" s="90"/>
      <c r="J39" s="90"/>
    </row>
    <row r="40" spans="1:10" x14ac:dyDescent="0.35">
      <c r="A40" s="107" t="s">
        <v>58</v>
      </c>
      <c r="B40" s="106">
        <v>5.8377058377058422</v>
      </c>
      <c r="C40" s="106">
        <v>5.7837764987032081</v>
      </c>
      <c r="D40" s="105">
        <v>12.053771184956375</v>
      </c>
      <c r="E40" s="104">
        <v>5.7302574053841422</v>
      </c>
      <c r="F40" s="103">
        <v>11.972895108572123</v>
      </c>
      <c r="H40" s="90"/>
      <c r="I40" s="90"/>
      <c r="J40" s="90"/>
    </row>
    <row r="41" spans="1:10" x14ac:dyDescent="0.35">
      <c r="A41" s="112" t="s">
        <v>57</v>
      </c>
      <c r="B41" s="111">
        <v>69.650166703628386</v>
      </c>
      <c r="C41" s="111">
        <v>74.986029933698816</v>
      </c>
      <c r="D41" s="110">
        <v>70.240267556253883</v>
      </c>
      <c r="E41" s="109">
        <v>78.130242988206604</v>
      </c>
      <c r="F41" s="108">
        <v>73.212677807008802</v>
      </c>
      <c r="H41" s="90"/>
      <c r="I41" s="90"/>
      <c r="J41" s="90"/>
    </row>
    <row r="42" spans="1:10" x14ac:dyDescent="0.35">
      <c r="A42" s="107" t="s">
        <v>56</v>
      </c>
      <c r="B42" s="106">
        <v>62.583127028569699</v>
      </c>
      <c r="C42" s="106">
        <v>67.039328668307192</v>
      </c>
      <c r="D42" s="105">
        <v>63.600436314437992</v>
      </c>
      <c r="E42" s="104">
        <v>64.421328240720428</v>
      </c>
      <c r="F42" s="103">
        <v>60.075548708762398</v>
      </c>
      <c r="H42" s="90"/>
      <c r="I42" s="90"/>
      <c r="J42" s="90"/>
    </row>
    <row r="43" spans="1:10" x14ac:dyDescent="0.35">
      <c r="A43" s="112" t="s">
        <v>55</v>
      </c>
      <c r="B43" s="111">
        <v>74.030847872535318</v>
      </c>
      <c r="C43" s="111">
        <v>72.924225544717956</v>
      </c>
      <c r="D43" s="110">
        <v>72.862042704061992</v>
      </c>
      <c r="E43" s="109">
        <v>72.868834378729346</v>
      </c>
      <c r="F43" s="108">
        <v>73.197457862217306</v>
      </c>
      <c r="H43" s="90"/>
      <c r="I43" s="90"/>
      <c r="J43" s="90"/>
    </row>
    <row r="44" spans="1:10" x14ac:dyDescent="0.35">
      <c r="A44" s="107" t="s">
        <v>54</v>
      </c>
      <c r="B44" s="106">
        <v>75.996745047042836</v>
      </c>
      <c r="C44" s="106">
        <v>73.876066878962959</v>
      </c>
      <c r="D44" s="105">
        <v>78.400458538136903</v>
      </c>
      <c r="E44" s="104">
        <v>73.819927944029359</v>
      </c>
      <c r="F44" s="103">
        <v>78.773452915283144</v>
      </c>
      <c r="H44" s="90"/>
      <c r="I44" s="119"/>
      <c r="J44" s="119"/>
    </row>
    <row r="45" spans="1:10" x14ac:dyDescent="0.35">
      <c r="A45" s="112" t="s">
        <v>53</v>
      </c>
      <c r="B45" s="111">
        <v>62.903876608509854</v>
      </c>
      <c r="C45" s="111">
        <v>61.785091123319212</v>
      </c>
      <c r="D45" s="110">
        <v>60.675903080458362</v>
      </c>
      <c r="E45" s="109">
        <v>60.625427726277806</v>
      </c>
      <c r="F45" s="108">
        <v>59.146954254527095</v>
      </c>
      <c r="H45" s="90"/>
      <c r="I45" s="90"/>
      <c r="J45" s="90"/>
    </row>
    <row r="46" spans="1:10" x14ac:dyDescent="0.35">
      <c r="A46" s="118" t="s">
        <v>52</v>
      </c>
      <c r="B46" s="117"/>
      <c r="C46" s="117"/>
      <c r="D46" s="117"/>
      <c r="E46" s="117"/>
      <c r="F46" s="116"/>
      <c r="H46" s="90"/>
      <c r="I46" s="90"/>
      <c r="J46" s="90"/>
    </row>
    <row r="47" spans="1:10" x14ac:dyDescent="0.35">
      <c r="A47" s="107" t="s">
        <v>51</v>
      </c>
      <c r="B47" s="106">
        <v>56.849738075544529</v>
      </c>
      <c r="C47" s="106">
        <v>58.570555101643286</v>
      </c>
      <c r="D47" s="105">
        <v>68.075095204300098</v>
      </c>
      <c r="E47" s="104">
        <v>58.893382278787385</v>
      </c>
      <c r="F47" s="103">
        <v>69.076045758390194</v>
      </c>
      <c r="H47" s="90"/>
      <c r="I47" s="90"/>
      <c r="J47" s="90"/>
    </row>
    <row r="48" spans="1:10" x14ac:dyDescent="0.35">
      <c r="A48" s="112" t="s">
        <v>50</v>
      </c>
      <c r="B48" s="111">
        <v>9.3744544523763462</v>
      </c>
      <c r="C48" s="111">
        <v>9.1501081706762406</v>
      </c>
      <c r="D48" s="110">
        <v>8.5439504278360232</v>
      </c>
      <c r="E48" s="109">
        <v>8.9595527755461202</v>
      </c>
      <c r="F48" s="108">
        <v>8.3337551407782318</v>
      </c>
      <c r="H48" s="90"/>
      <c r="I48" s="90"/>
      <c r="J48" s="90"/>
    </row>
    <row r="49" spans="1:10" x14ac:dyDescent="0.35">
      <c r="A49" s="107" t="s">
        <v>49</v>
      </c>
      <c r="B49" s="106">
        <v>25.293103467755511</v>
      </c>
      <c r="C49" s="106">
        <v>24.697980129081845</v>
      </c>
      <c r="D49" s="105">
        <v>30.621789759912865</v>
      </c>
      <c r="E49" s="104">
        <v>24.792233435469452</v>
      </c>
      <c r="F49" s="103">
        <v>30.806235981494044</v>
      </c>
      <c r="H49" s="90"/>
      <c r="I49" s="90"/>
      <c r="J49" s="90"/>
    </row>
    <row r="50" spans="1:10" x14ac:dyDescent="0.35">
      <c r="A50" s="112" t="s">
        <v>48</v>
      </c>
      <c r="B50" s="111">
        <v>28.728801727444875</v>
      </c>
      <c r="C50" s="111">
        <v>28.161814188289398</v>
      </c>
      <c r="D50" s="110">
        <v>34.484611655840489</v>
      </c>
      <c r="E50" s="109">
        <v>28.332636687642815</v>
      </c>
      <c r="F50" s="108">
        <v>34.683476115270743</v>
      </c>
      <c r="H50" s="90"/>
      <c r="I50" s="90"/>
      <c r="J50" s="90"/>
    </row>
    <row r="51" spans="1:10" x14ac:dyDescent="0.35">
      <c r="A51" s="107" t="s">
        <v>47</v>
      </c>
      <c r="B51" s="106">
        <v>34.255161392203455</v>
      </c>
      <c r="C51" s="106">
        <v>34.947264411220353</v>
      </c>
      <c r="D51" s="105">
        <v>42.545891307303194</v>
      </c>
      <c r="E51" s="104">
        <v>35.131876045391941</v>
      </c>
      <c r="F51" s="103">
        <v>42.84947472301657</v>
      </c>
      <c r="H51" s="90"/>
      <c r="I51" s="90"/>
      <c r="J51" s="90"/>
    </row>
    <row r="52" spans="1:10" x14ac:dyDescent="0.35">
      <c r="A52" s="115" t="s">
        <v>46</v>
      </c>
      <c r="B52" s="114"/>
      <c r="C52" s="114"/>
      <c r="D52" s="114"/>
      <c r="E52" s="114"/>
      <c r="F52" s="113"/>
      <c r="H52" s="90"/>
      <c r="I52" s="90"/>
      <c r="J52" s="90"/>
    </row>
    <row r="53" spans="1:10" x14ac:dyDescent="0.35">
      <c r="A53" s="112" t="s">
        <v>45</v>
      </c>
      <c r="B53" s="111">
        <v>13.593116966753973</v>
      </c>
      <c r="C53" s="111">
        <v>13.251355060285269</v>
      </c>
      <c r="D53" s="110">
        <v>13.596245811879109</v>
      </c>
      <c r="E53" s="109">
        <v>13.0125065449043</v>
      </c>
      <c r="F53" s="108">
        <v>13.486295481889201</v>
      </c>
      <c r="H53" s="90"/>
      <c r="I53" s="90"/>
      <c r="J53" s="90"/>
    </row>
    <row r="54" spans="1:10" x14ac:dyDescent="0.35">
      <c r="A54" s="107" t="s">
        <v>44</v>
      </c>
      <c r="B54" s="106">
        <v>10.08</v>
      </c>
      <c r="C54" s="106">
        <v>10.190386524148126</v>
      </c>
      <c r="D54" s="105">
        <v>9.8556313156987496</v>
      </c>
      <c r="E54" s="104">
        <v>10.300773048296252</v>
      </c>
      <c r="F54" s="103">
        <v>9.971262631397499</v>
      </c>
      <c r="H54" s="90"/>
      <c r="I54" s="90"/>
      <c r="J54" s="90"/>
    </row>
    <row r="55" spans="1:10" x14ac:dyDescent="0.35">
      <c r="A55" s="102" t="s">
        <v>43</v>
      </c>
      <c r="B55" s="101">
        <v>2.8355299160714882</v>
      </c>
      <c r="C55" s="101">
        <v>2.7636363360868708</v>
      </c>
      <c r="D55" s="100">
        <v>4.4889089590471833</v>
      </c>
      <c r="E55" s="99">
        <v>2.6753756970155043</v>
      </c>
      <c r="F55" s="98">
        <v>4.3201167946423542</v>
      </c>
      <c r="H55" s="90"/>
      <c r="I55" s="90"/>
      <c r="J55" s="90"/>
    </row>
    <row r="56" spans="1:10" ht="14.25" customHeight="1" x14ac:dyDescent="0.35">
      <c r="A56" s="97"/>
      <c r="B56" s="96"/>
      <c r="D56" s="95"/>
      <c r="F56" s="95" t="s">
        <v>1</v>
      </c>
      <c r="H56" s="90"/>
      <c r="I56" s="90"/>
      <c r="J56" s="90"/>
    </row>
    <row r="57" spans="1:10" s="93" customFormat="1" ht="83.25" customHeight="1" x14ac:dyDescent="0.35">
      <c r="A57" s="154" t="s">
        <v>42</v>
      </c>
      <c r="B57" s="154"/>
      <c r="C57" s="154"/>
      <c r="D57" s="154"/>
      <c r="E57" s="94"/>
      <c r="H57" s="90"/>
      <c r="I57" s="90"/>
      <c r="J57" s="90"/>
    </row>
    <row r="58" spans="1:10" x14ac:dyDescent="0.35">
      <c r="B58" s="90"/>
      <c r="C58" s="90"/>
      <c r="D58" s="90"/>
      <c r="E58" s="92"/>
      <c r="H58" s="90"/>
      <c r="I58" s="90"/>
      <c r="J58" s="90"/>
    </row>
    <row r="59" spans="1:10" x14ac:dyDescent="0.35">
      <c r="H59" s="90"/>
      <c r="I59" s="90"/>
      <c r="J59" s="90"/>
    </row>
    <row r="60" spans="1:10" x14ac:dyDescent="0.35">
      <c r="E60" s="91"/>
      <c r="H60" s="90"/>
      <c r="I60" s="90"/>
      <c r="J60" s="90"/>
    </row>
    <row r="61" spans="1:10" x14ac:dyDescent="0.35">
      <c r="E61" s="91"/>
      <c r="H61" s="90"/>
    </row>
    <row r="62" spans="1:10" x14ac:dyDescent="0.35">
      <c r="A62" s="91"/>
      <c r="B62" s="91"/>
      <c r="C62" s="91"/>
      <c r="D62" s="91"/>
      <c r="E62" s="91"/>
      <c r="H62" s="90"/>
    </row>
    <row r="63" spans="1:10" x14ac:dyDescent="0.35">
      <c r="A63" s="91"/>
      <c r="B63" s="91"/>
      <c r="C63" s="91"/>
      <c r="D63" s="91"/>
      <c r="E63" s="91"/>
      <c r="H63" s="90"/>
    </row>
    <row r="64" spans="1:10" x14ac:dyDescent="0.35">
      <c r="A64" s="91"/>
      <c r="B64" s="91"/>
      <c r="C64" s="91"/>
      <c r="D64" s="91"/>
      <c r="E64" s="91"/>
      <c r="H64" s="90"/>
    </row>
    <row r="65" spans="8:8" x14ac:dyDescent="0.35">
      <c r="H65" s="90"/>
    </row>
    <row r="66" spans="8:8" x14ac:dyDescent="0.35">
      <c r="H66" s="90"/>
    </row>
    <row r="67" spans="8:8" x14ac:dyDescent="0.35">
      <c r="H67" s="90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Mex</vt:lpstr>
      <vt:lpstr>MEX</vt:lpstr>
      <vt:lpstr>'Est Mex'!Área_de_impresión</vt:lpstr>
      <vt:lpstr>MEX!Área_de_impresión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2022-09-07T17:28:21Z</cp:lastPrinted>
  <dcterms:created xsi:type="dcterms:W3CDTF">2022-09-06T18:55:19Z</dcterms:created>
  <dcterms:modified xsi:type="dcterms:W3CDTF">2022-09-07T19:12:40Z</dcterms:modified>
</cp:coreProperties>
</file>