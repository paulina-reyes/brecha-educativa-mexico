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63E61319-B770-4316-A0B8-A3DA878DE67E}" xr6:coauthVersionLast="47" xr6:coauthVersionMax="47" xr10:uidLastSave="{00000000-0000-0000-0000-000000000000}"/>
  <bookViews>
    <workbookView xWindow="-120" yWindow="-120" windowWidth="29040" windowHeight="15840" xr2:uid="{77631788-5961-493E-B223-49E084267D3B}"/>
  </bookViews>
  <sheets>
    <sheet name="Est SLP" sheetId="1" r:id="rId1"/>
    <sheet name="SL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0">'Est SLP'!$A$1:$F$74</definedName>
    <definedName name="_xlnm.Print_Area" localSheetId="1">SLP!$A$1:$F$57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C16" i="1" s="1"/>
  <c r="D17" i="1"/>
  <c r="E17" i="1"/>
  <c r="E16" i="1" s="1"/>
  <c r="E13" i="1" s="1"/>
  <c r="E18" i="1"/>
  <c r="E15" i="1" s="1"/>
  <c r="E19" i="1"/>
  <c r="F19" i="1"/>
  <c r="B20" i="1"/>
  <c r="C20" i="1"/>
  <c r="C19" i="1" s="1"/>
  <c r="D20" i="1"/>
  <c r="E20" i="1"/>
  <c r="F20" i="1"/>
  <c r="F17" i="1" s="1"/>
  <c r="C21" i="1"/>
  <c r="C18" i="1" s="1"/>
  <c r="D21" i="1"/>
  <c r="D18" i="1" s="1"/>
  <c r="D15" i="1" s="1"/>
  <c r="E21" i="1"/>
  <c r="F21" i="1"/>
  <c r="F18" i="1" s="1"/>
  <c r="F15" i="1" s="1"/>
  <c r="B22" i="1"/>
  <c r="C22" i="1"/>
  <c r="D22" i="1"/>
  <c r="E22" i="1"/>
  <c r="F22" i="1"/>
  <c r="B23" i="1"/>
  <c r="B24" i="1"/>
  <c r="B25" i="1"/>
  <c r="B26" i="1"/>
  <c r="B27" i="1"/>
  <c r="C27" i="1"/>
  <c r="D27" i="1"/>
  <c r="E27" i="1"/>
  <c r="F27" i="1"/>
  <c r="B28" i="1"/>
  <c r="B29" i="1"/>
  <c r="B30" i="1"/>
  <c r="B31" i="1"/>
  <c r="B32" i="1"/>
  <c r="C33" i="1"/>
  <c r="D33" i="1"/>
  <c r="B33" i="1" s="1"/>
  <c r="E33" i="1"/>
  <c r="F33" i="1"/>
  <c r="B34" i="1"/>
  <c r="B35" i="1"/>
  <c r="B36" i="1"/>
  <c r="B37" i="1"/>
  <c r="B38" i="1"/>
  <c r="C39" i="1"/>
  <c r="B39" i="1" s="1"/>
  <c r="D39" i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B52" i="1"/>
  <c r="C52" i="1"/>
  <c r="D52" i="1"/>
  <c r="E52" i="1"/>
  <c r="F52" i="1"/>
  <c r="C53" i="1"/>
  <c r="D53" i="1"/>
  <c r="B53" i="1" s="1"/>
  <c r="E53" i="1"/>
  <c r="F53" i="1"/>
  <c r="B54" i="1"/>
  <c r="B55" i="1"/>
  <c r="B56" i="1"/>
  <c r="B57" i="1"/>
  <c r="B58" i="1"/>
  <c r="C60" i="1"/>
  <c r="C59" i="1" s="1"/>
  <c r="D60" i="1"/>
  <c r="D59" i="1" s="1"/>
  <c r="E60" i="1"/>
  <c r="E59" i="1" s="1"/>
  <c r="F60" i="1"/>
  <c r="F59" i="1" s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B59" i="1" l="1"/>
  <c r="D16" i="1"/>
  <c r="D13" i="1" s="1"/>
  <c r="C13" i="1"/>
  <c r="B16" i="1"/>
  <c r="C15" i="1"/>
  <c r="B15" i="1" s="1"/>
  <c r="B18" i="1"/>
  <c r="F14" i="1"/>
  <c r="F16" i="1"/>
  <c r="F13" i="1" s="1"/>
  <c r="D19" i="1"/>
  <c r="B19" i="1" s="1"/>
  <c r="B17" i="1"/>
  <c r="E14" i="1"/>
  <c r="B60" i="1"/>
  <c r="D14" i="1"/>
  <c r="C14" i="1"/>
  <c r="B14" i="1" s="1"/>
  <c r="B21" i="1"/>
  <c r="B13" i="1" l="1"/>
</calcChain>
</file>

<file path=xl/sharedStrings.xml><?xml version="1.0" encoding="utf-8"?>
<sst xmlns="http://schemas.openxmlformats.org/spreadsheetml/2006/main" count="133" uniqueCount="78">
  <si>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</si>
  <si>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</si>
  <si>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</si>
  <si>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</si>
  <si>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</si>
  <si>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</si>
  <si>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</si>
  <si>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</si>
  <si>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</si>
  <si>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</si>
  <si>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</si>
  <si>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</si>
  <si>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</si>
  <si>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</si>
  <si>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</si>
  <si>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</si>
  <si>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 xml:space="preserve">Educación media superior 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</si>
  <si>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</si>
  <si>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</si>
  <si>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</si>
  <si>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</si>
  <si>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</si>
  <si>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</si>
  <si>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</si>
  <si>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</si>
  <si>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</si>
  <si>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</si>
  <si>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</si>
  <si>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</si>
  <si>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</si>
  <si>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</si>
  <si>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</si>
  <si>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</si>
  <si>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</si>
  <si>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</si>
  <si>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</si>
  <si>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</si>
  <si>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</si>
  <si>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San Luis Potosí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</si>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</sst>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39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0" borderId="3" xfId="1" applyNumberFormat="1" applyFont="1" applyBorder="1"/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7" xfId="0" applyNumberFormat="1" applyFont="1" applyFill="1" applyBorder="1"/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1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2" fillId="0" borderId="0" xfId="0" applyFont="1" applyAlignment="1">
      <alignment horizontal="left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4" xfId="0" applyNumberFormat="1" applyFont="1" applyFill="1" applyBorder="1" applyAlignment="1">
      <alignment horizontal="center" vertical="center"/>
    </xf>
    <xf numFmtId="167" fontId="7" fillId="11" borderId="25" xfId="0" applyNumberFormat="1" applyFont="1" applyFill="1" applyBorder="1" applyAlignment="1">
      <alignment horizontal="center" vertical="center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7" xfId="0" applyNumberFormat="1" applyFont="1" applyBorder="1" applyAlignment="1">
      <alignment horizontal="center" vertical="center"/>
    </xf>
    <xf numFmtId="167" fontId="7" fillId="0" borderId="28" xfId="0" applyNumberFormat="1" applyFont="1" applyBorder="1" applyAlignment="1">
      <alignment horizontal="center" vertical="center"/>
    </xf>
    <xf numFmtId="167" fontId="7" fillId="0" borderId="29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7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7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4" fillId="0" borderId="0" xfId="0" quotePrefix="1" applyFont="1"/>
    <xf numFmtId="0" fontId="5" fillId="2" borderId="27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0" xfId="0" applyNumberFormat="1" applyFont="1" applyBorder="1" applyAlignment="1">
      <alignment horizontal="center" vertical="center"/>
    </xf>
    <xf numFmtId="0" fontId="5" fillId="8" borderId="27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0" fontId="7" fillId="8" borderId="27" xfId="0" applyFont="1" applyFill="1" applyBorder="1" applyAlignment="1">
      <alignment vertical="center"/>
    </xf>
    <xf numFmtId="0" fontId="7" fillId="8" borderId="31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13" fillId="8" borderId="31" xfId="0" applyFont="1" applyFill="1" applyBorder="1" applyAlignment="1">
      <alignment vertical="center"/>
    </xf>
    <xf numFmtId="0" fontId="13" fillId="8" borderId="32" xfId="0" applyFont="1" applyFill="1" applyBorder="1" applyAlignment="1">
      <alignment vertical="center"/>
    </xf>
    <xf numFmtId="0" fontId="13" fillId="0" borderId="33" xfId="0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Continuous" vertical="center"/>
    </xf>
    <xf numFmtId="0" fontId="5" fillId="0" borderId="38" xfId="0" applyFont="1" applyBorder="1" applyAlignment="1">
      <alignment horizontal="centerContinuous" vertical="center"/>
    </xf>
    <xf numFmtId="0" fontId="5" fillId="0" borderId="22" xfId="0" applyFont="1" applyBorder="1" applyAlignment="1">
      <alignment horizontal="centerContinuous" vertical="center"/>
    </xf>
    <xf numFmtId="0" fontId="2" fillId="0" borderId="0" xfId="0" quotePrefix="1" applyFont="1"/>
    <xf numFmtId="0" fontId="1" fillId="0" borderId="0" xfId="0" applyFont="1" applyAlignment="1">
      <alignment horizontal="left"/>
    </xf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 wrapText="1"/>
    </xf>
    <xf numFmtId="1" fontId="5" fillId="0" borderId="20" xfId="1" applyNumberFormat="1" applyFont="1" applyBorder="1" applyAlignment="1">
      <alignment horizontal="center" vertical="center"/>
    </xf>
    <xf numFmtId="1" fontId="5" fillId="0" borderId="23" xfId="1" applyNumberFormat="1" applyFont="1" applyBorder="1" applyAlignment="1">
      <alignment horizontal="center" vertical="center"/>
    </xf>
    <xf numFmtId="1" fontId="5" fillId="0" borderId="22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37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1A229DC0-BD9E-4C88-A7DC-D518788B72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DB57619E-8D05-4E80-9663-9C3A42B09B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EB3EA86F-8802-4889-90BA-D59BF6DAD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>
        <row r="8">
          <cell r="A8" t="str">
            <v xml:space="preserve">  Federal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068C9-496C-4239-9C2C-CE0E2D1228AD}">
  <sheetPr codeName="Hoja1">
    <tabColor rgb="FFD4C19C"/>
    <pageSetUpPr fitToPage="1"/>
  </sheetPr>
  <dimension ref="A1:P124"/>
  <sheetViews>
    <sheetView showGridLines="0" showZeros="0" tabSelected="1" workbookViewId="0">
      <selection activeCell="A13" sqref="A13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86" t="s">
        <v>41</v>
      </c>
    </row>
    <row r="3" spans="1:16" x14ac:dyDescent="0.35">
      <c r="F3" s="86" t="s">
        <v>40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4" customFormat="1" ht="15.75" customHeight="1" x14ac:dyDescent="0.35">
      <c r="A7" s="147" t="s">
        <v>39</v>
      </c>
      <c r="B7" s="147"/>
      <c r="C7" s="147"/>
      <c r="D7" s="147"/>
      <c r="E7" s="147"/>
      <c r="F7" s="147"/>
      <c r="H7"/>
      <c r="I7"/>
      <c r="J7"/>
      <c r="K7"/>
      <c r="L7"/>
      <c r="M7"/>
      <c r="N7"/>
      <c r="O7"/>
      <c r="P7" s="2"/>
    </row>
    <row r="8" spans="1:16" s="84" customFormat="1" ht="15.75" customHeight="1" x14ac:dyDescent="0.35">
      <c r="A8" s="147" t="s">
        <v>38</v>
      </c>
      <c r="B8" s="147"/>
      <c r="C8" s="147"/>
      <c r="D8" s="147"/>
      <c r="E8" s="147"/>
      <c r="F8" s="147"/>
      <c r="H8"/>
      <c r="I8"/>
      <c r="J8"/>
      <c r="K8"/>
      <c r="L8"/>
      <c r="M8"/>
      <c r="N8"/>
      <c r="O8"/>
      <c r="P8" s="2"/>
    </row>
    <row r="9" spans="1:16" s="84" customFormat="1" ht="15.75" customHeight="1" x14ac:dyDescent="0.35">
      <c r="A9" s="85" t="s">
        <v>77</v>
      </c>
      <c r="B9" s="85"/>
      <c r="C9" s="85"/>
      <c r="D9" s="85"/>
      <c r="E9" s="85"/>
      <c r="F9" s="85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48" t="s">
        <v>37</v>
      </c>
      <c r="B11" s="150" t="s">
        <v>36</v>
      </c>
      <c r="C11" s="150"/>
      <c r="D11" s="150"/>
      <c r="E11" s="151" t="s">
        <v>35</v>
      </c>
      <c r="F11" s="151" t="s">
        <v>34</v>
      </c>
    </row>
    <row r="12" spans="1:16" ht="15" customHeight="1" x14ac:dyDescent="0.35">
      <c r="A12" s="149"/>
      <c r="B12" s="83" t="s">
        <v>33</v>
      </c>
      <c r="C12" s="83" t="s">
        <v>32</v>
      </c>
      <c r="D12" s="83" t="s">
        <v>31</v>
      </c>
      <c r="E12" s="149"/>
      <c r="F12" s="149"/>
    </row>
    <row r="13" spans="1:16" ht="18" customHeight="1" x14ac:dyDescent="0.35">
      <c r="A13" s="82" t="s">
        <v>30</v>
      </c>
      <c r="B13" s="81">
        <f t="shared" ref="B13:B44" si="0">C13+D13</f>
        <v>765319</v>
      </c>
      <c r="C13" s="81">
        <f>C16+C62+C68</f>
        <v>384586</v>
      </c>
      <c r="D13" s="81">
        <f>D16+D62+D68</f>
        <v>380733</v>
      </c>
      <c r="E13" s="81">
        <f>E16+E62+E68</f>
        <v>48869</v>
      </c>
      <c r="F13" s="81">
        <f>F16+F62+F68</f>
        <v>8830</v>
      </c>
    </row>
    <row r="14" spans="1:16" ht="18" customHeight="1" x14ac:dyDescent="0.35">
      <c r="A14" s="42" t="s">
        <v>3</v>
      </c>
      <c r="B14" s="41">
        <f t="shared" si="0"/>
        <v>638991</v>
      </c>
      <c r="C14" s="41">
        <f t="shared" ref="C14:F15" si="1">C17+C66+C71</f>
        <v>318601</v>
      </c>
      <c r="D14" s="41">
        <f t="shared" si="1"/>
        <v>320390</v>
      </c>
      <c r="E14" s="41">
        <f t="shared" si="1"/>
        <v>37904</v>
      </c>
      <c r="F14" s="41">
        <f t="shared" si="1"/>
        <v>7753</v>
      </c>
    </row>
    <row r="15" spans="1:16" ht="18" customHeight="1" x14ac:dyDescent="0.35">
      <c r="A15" s="40" t="s">
        <v>2</v>
      </c>
      <c r="B15" s="39">
        <f t="shared" si="0"/>
        <v>126328</v>
      </c>
      <c r="C15" s="39">
        <f t="shared" si="1"/>
        <v>65985</v>
      </c>
      <c r="D15" s="39">
        <f t="shared" si="1"/>
        <v>60343</v>
      </c>
      <c r="E15" s="39">
        <f t="shared" si="1"/>
        <v>10965</v>
      </c>
      <c r="F15" s="39">
        <f t="shared" si="1"/>
        <v>1077</v>
      </c>
    </row>
    <row r="16" spans="1:16" ht="18" customHeight="1" x14ac:dyDescent="0.35">
      <c r="A16" s="45" t="s">
        <v>29</v>
      </c>
      <c r="B16" s="44">
        <f t="shared" si="0"/>
        <v>736425</v>
      </c>
      <c r="C16" s="44">
        <f>C17+C18</f>
        <v>370269</v>
      </c>
      <c r="D16" s="44">
        <f>D17+D18</f>
        <v>366156</v>
      </c>
      <c r="E16" s="44">
        <f>E17+E18</f>
        <v>47299</v>
      </c>
      <c r="F16" s="43">
        <f>F17+F18</f>
        <v>8769</v>
      </c>
    </row>
    <row r="17" spans="1:6" ht="18" customHeight="1" x14ac:dyDescent="0.35">
      <c r="A17" s="42" t="s">
        <v>3</v>
      </c>
      <c r="B17" s="41">
        <f t="shared" si="0"/>
        <v>632548</v>
      </c>
      <c r="C17" s="41">
        <f t="shared" ref="C17:F18" si="2">C20+C50+C57</f>
        <v>315299</v>
      </c>
      <c r="D17" s="41">
        <f t="shared" si="2"/>
        <v>317249</v>
      </c>
      <c r="E17" s="41">
        <f t="shared" si="2"/>
        <v>37535</v>
      </c>
      <c r="F17" s="41">
        <f t="shared" si="2"/>
        <v>7735</v>
      </c>
    </row>
    <row r="18" spans="1:6" ht="18" customHeight="1" x14ac:dyDescent="0.35">
      <c r="A18" s="40" t="s">
        <v>2</v>
      </c>
      <c r="B18" s="39">
        <f t="shared" si="0"/>
        <v>103877</v>
      </c>
      <c r="C18" s="39">
        <f t="shared" si="2"/>
        <v>54970</v>
      </c>
      <c r="D18" s="39">
        <f t="shared" si="2"/>
        <v>48907</v>
      </c>
      <c r="E18" s="39">
        <f t="shared" si="2"/>
        <v>9764</v>
      </c>
      <c r="F18" s="39">
        <f t="shared" si="2"/>
        <v>1034</v>
      </c>
    </row>
    <row r="19" spans="1:6" ht="18" customHeight="1" x14ac:dyDescent="0.35">
      <c r="A19" s="80" t="s">
        <v>28</v>
      </c>
      <c r="B19" s="79">
        <f t="shared" si="0"/>
        <v>559248</v>
      </c>
      <c r="C19" s="79">
        <f>C20+C21</f>
        <v>276352</v>
      </c>
      <c r="D19" s="79">
        <f>D20+D21</f>
        <v>282896</v>
      </c>
      <c r="E19" s="79">
        <f>E20+E21</f>
        <v>32578</v>
      </c>
      <c r="F19" s="78">
        <f>F20+F21</f>
        <v>8154</v>
      </c>
    </row>
    <row r="20" spans="1:6" ht="18" customHeight="1" x14ac:dyDescent="0.35">
      <c r="A20" s="42" t="s">
        <v>3</v>
      </c>
      <c r="B20" s="41">
        <f t="shared" si="0"/>
        <v>506050</v>
      </c>
      <c r="C20" s="41">
        <f t="shared" ref="C20:F21" si="3">C25+C31+C37+C43</f>
        <v>250043</v>
      </c>
      <c r="D20" s="41">
        <f t="shared" si="3"/>
        <v>256007</v>
      </c>
      <c r="E20" s="41">
        <f t="shared" si="3"/>
        <v>28904</v>
      </c>
      <c r="F20" s="77">
        <f t="shared" si="3"/>
        <v>7500</v>
      </c>
    </row>
    <row r="21" spans="1:6" ht="18" customHeight="1" x14ac:dyDescent="0.35">
      <c r="A21" s="76" t="s">
        <v>2</v>
      </c>
      <c r="B21" s="75">
        <f t="shared" si="0"/>
        <v>53198</v>
      </c>
      <c r="C21" s="75">
        <f t="shared" si="3"/>
        <v>26309</v>
      </c>
      <c r="D21" s="75">
        <f t="shared" si="3"/>
        <v>26889</v>
      </c>
      <c r="E21" s="75">
        <f t="shared" si="3"/>
        <v>3674</v>
      </c>
      <c r="F21" s="74">
        <f t="shared" si="3"/>
        <v>654</v>
      </c>
    </row>
    <row r="22" spans="1:6" ht="18" customHeight="1" x14ac:dyDescent="0.35">
      <c r="A22" s="69" t="s">
        <v>27</v>
      </c>
      <c r="B22" s="68">
        <f t="shared" si="0"/>
        <v>7170</v>
      </c>
      <c r="C22" s="68">
        <f>C23+C24</f>
        <v>3426</v>
      </c>
      <c r="D22" s="68">
        <f>D23+D24</f>
        <v>3744</v>
      </c>
      <c r="E22" s="68">
        <f>E23+E24</f>
        <v>321</v>
      </c>
      <c r="F22" s="67">
        <f>F23+F24</f>
        <v>293</v>
      </c>
    </row>
    <row r="23" spans="1:6" ht="18" customHeight="1" x14ac:dyDescent="0.35">
      <c r="A23" s="72" t="s">
        <v>23</v>
      </c>
      <c r="B23" s="49">
        <f t="shared" si="0"/>
        <v>3526</v>
      </c>
      <c r="C23" s="49">
        <v>1652</v>
      </c>
      <c r="D23" s="49">
        <v>1874</v>
      </c>
      <c r="E23" s="49">
        <v>66</v>
      </c>
      <c r="F23" s="9">
        <v>57</v>
      </c>
    </row>
    <row r="24" spans="1:6" ht="18" customHeight="1" x14ac:dyDescent="0.35">
      <c r="A24" s="73" t="s">
        <v>22</v>
      </c>
      <c r="B24" s="50">
        <f t="shared" si="0"/>
        <v>3644</v>
      </c>
      <c r="C24" s="50">
        <v>1774</v>
      </c>
      <c r="D24" s="50">
        <v>1870</v>
      </c>
      <c r="E24" s="50">
        <v>255</v>
      </c>
      <c r="F24" s="46">
        <v>236</v>
      </c>
    </row>
    <row r="25" spans="1:6" ht="18" customHeight="1" x14ac:dyDescent="0.35">
      <c r="A25" s="36" t="s">
        <v>3</v>
      </c>
      <c r="B25" s="11">
        <f t="shared" si="0"/>
        <v>4472</v>
      </c>
      <c r="C25" s="11">
        <v>2177</v>
      </c>
      <c r="D25" s="11">
        <v>2295</v>
      </c>
      <c r="E25" s="11">
        <v>296</v>
      </c>
      <c r="F25" s="9">
        <v>263</v>
      </c>
    </row>
    <row r="26" spans="1:6" ht="18" customHeight="1" x14ac:dyDescent="0.35">
      <c r="A26" s="58" t="s">
        <v>2</v>
      </c>
      <c r="B26" s="57">
        <f t="shared" si="0"/>
        <v>2698</v>
      </c>
      <c r="C26" s="57">
        <v>1249</v>
      </c>
      <c r="D26" s="57">
        <v>1449</v>
      </c>
      <c r="E26" s="57">
        <v>25</v>
      </c>
      <c r="F26" s="56">
        <v>30</v>
      </c>
    </row>
    <row r="27" spans="1:6" ht="18" customHeight="1" x14ac:dyDescent="0.35">
      <c r="A27" s="69" t="s">
        <v>26</v>
      </c>
      <c r="B27" s="68">
        <f t="shared" si="0"/>
        <v>110127</v>
      </c>
      <c r="C27" s="68">
        <f>C28+C29+C30</f>
        <v>54572</v>
      </c>
      <c r="D27" s="68">
        <f>D28+D29+D30</f>
        <v>55555</v>
      </c>
      <c r="E27" s="68">
        <f>E28+E29+E30</f>
        <v>6607</v>
      </c>
      <c r="F27" s="67">
        <f>F28+F29+F30</f>
        <v>3022</v>
      </c>
    </row>
    <row r="28" spans="1:6" ht="18" customHeight="1" x14ac:dyDescent="0.35">
      <c r="A28" s="72" t="s">
        <v>25</v>
      </c>
      <c r="B28" s="49">
        <f t="shared" si="0"/>
        <v>93997</v>
      </c>
      <c r="C28" s="49">
        <v>46740</v>
      </c>
      <c r="D28" s="49">
        <v>47257</v>
      </c>
      <c r="E28" s="49">
        <v>5195</v>
      </c>
      <c r="F28" s="9">
        <v>1756</v>
      </c>
    </row>
    <row r="29" spans="1:6" ht="18" customHeight="1" x14ac:dyDescent="0.35">
      <c r="A29" s="73" t="s">
        <v>22</v>
      </c>
      <c r="B29" s="50">
        <f t="shared" si="0"/>
        <v>10587</v>
      </c>
      <c r="C29" s="50">
        <v>5114</v>
      </c>
      <c r="D29" s="50">
        <v>5473</v>
      </c>
      <c r="E29" s="50">
        <v>690</v>
      </c>
      <c r="F29" s="46">
        <v>419</v>
      </c>
    </row>
    <row r="30" spans="1:6" ht="18" customHeight="1" x14ac:dyDescent="0.35">
      <c r="A30" s="72" t="s">
        <v>21</v>
      </c>
      <c r="B30" s="49">
        <f t="shared" si="0"/>
        <v>5543</v>
      </c>
      <c r="C30" s="49">
        <v>2718</v>
      </c>
      <c r="D30" s="49">
        <v>2825</v>
      </c>
      <c r="E30" s="49">
        <v>722</v>
      </c>
      <c r="F30" s="9">
        <v>847</v>
      </c>
    </row>
    <row r="31" spans="1:6" ht="18" customHeight="1" x14ac:dyDescent="0.35">
      <c r="A31" s="71" t="s">
        <v>3</v>
      </c>
      <c r="B31" s="66">
        <f t="shared" si="0"/>
        <v>98829</v>
      </c>
      <c r="C31" s="66">
        <v>49039</v>
      </c>
      <c r="D31" s="66">
        <v>49790</v>
      </c>
      <c r="E31" s="66">
        <v>5805</v>
      </c>
      <c r="F31" s="70">
        <v>2723</v>
      </c>
    </row>
    <row r="32" spans="1:6" ht="18" customHeight="1" x14ac:dyDescent="0.35">
      <c r="A32" s="31" t="s">
        <v>2</v>
      </c>
      <c r="B32" s="30">
        <f t="shared" si="0"/>
        <v>11298</v>
      </c>
      <c r="C32" s="30">
        <v>5533</v>
      </c>
      <c r="D32" s="30">
        <v>5765</v>
      </c>
      <c r="E32" s="30">
        <v>802</v>
      </c>
      <c r="F32" s="27">
        <v>299</v>
      </c>
    </row>
    <row r="33" spans="1:6" ht="18" customHeight="1" x14ac:dyDescent="0.35">
      <c r="A33" s="69" t="s">
        <v>24</v>
      </c>
      <c r="B33" s="68">
        <f t="shared" si="0"/>
        <v>299068</v>
      </c>
      <c r="C33" s="68">
        <f>C34+C35+C36</f>
        <v>147036</v>
      </c>
      <c r="D33" s="68">
        <f>D34+D35+D36</f>
        <v>152032</v>
      </c>
      <c r="E33" s="68">
        <f>E34+E35+E36</f>
        <v>14375</v>
      </c>
      <c r="F33" s="67">
        <f>F34+F35+F36</f>
        <v>3147</v>
      </c>
    </row>
    <row r="34" spans="1:6" ht="18" customHeight="1" x14ac:dyDescent="0.35">
      <c r="A34" s="72" t="s">
        <v>23</v>
      </c>
      <c r="B34" s="49">
        <f t="shared" si="0"/>
        <v>279056</v>
      </c>
      <c r="C34" s="49">
        <v>137148</v>
      </c>
      <c r="D34" s="49">
        <v>141908</v>
      </c>
      <c r="E34" s="49">
        <v>12742</v>
      </c>
      <c r="F34" s="9">
        <v>2276</v>
      </c>
    </row>
    <row r="35" spans="1:6" ht="18" customHeight="1" x14ac:dyDescent="0.35">
      <c r="A35" s="73" t="s">
        <v>22</v>
      </c>
      <c r="B35" s="50">
        <f t="shared" si="0"/>
        <v>15369</v>
      </c>
      <c r="C35" s="50">
        <v>7567</v>
      </c>
      <c r="D35" s="50">
        <v>7802</v>
      </c>
      <c r="E35" s="50">
        <v>1038</v>
      </c>
      <c r="F35" s="46">
        <v>343</v>
      </c>
    </row>
    <row r="36" spans="1:6" ht="18" customHeight="1" x14ac:dyDescent="0.35">
      <c r="A36" s="72" t="s">
        <v>21</v>
      </c>
      <c r="B36" s="49">
        <f t="shared" si="0"/>
        <v>4643</v>
      </c>
      <c r="C36" s="49">
        <v>2321</v>
      </c>
      <c r="D36" s="49">
        <v>2322</v>
      </c>
      <c r="E36" s="49">
        <v>595</v>
      </c>
      <c r="F36" s="9">
        <v>528</v>
      </c>
    </row>
    <row r="37" spans="1:6" ht="18" customHeight="1" x14ac:dyDescent="0.35">
      <c r="A37" s="71" t="s">
        <v>3</v>
      </c>
      <c r="B37" s="66">
        <f t="shared" si="0"/>
        <v>272867</v>
      </c>
      <c r="C37" s="66">
        <v>134086</v>
      </c>
      <c r="D37" s="66">
        <v>138781</v>
      </c>
      <c r="E37" s="66">
        <v>13072</v>
      </c>
      <c r="F37" s="70">
        <v>2952</v>
      </c>
    </row>
    <row r="38" spans="1:6" ht="18" customHeight="1" x14ac:dyDescent="0.35">
      <c r="A38" s="31" t="s">
        <v>2</v>
      </c>
      <c r="B38" s="30">
        <f t="shared" si="0"/>
        <v>26201</v>
      </c>
      <c r="C38" s="30">
        <v>12950</v>
      </c>
      <c r="D38" s="30">
        <v>13251</v>
      </c>
      <c r="E38" s="30">
        <v>1303</v>
      </c>
      <c r="F38" s="27">
        <v>195</v>
      </c>
    </row>
    <row r="39" spans="1:6" ht="18" customHeight="1" x14ac:dyDescent="0.35">
      <c r="A39" s="69" t="s">
        <v>20</v>
      </c>
      <c r="B39" s="68">
        <f t="shared" si="0"/>
        <v>142883</v>
      </c>
      <c r="C39" s="68">
        <f>C40+C41+C42</f>
        <v>71318</v>
      </c>
      <c r="D39" s="68">
        <f>D40+D41+D42</f>
        <v>71565</v>
      </c>
      <c r="E39" s="68">
        <f>E40+E41+E42</f>
        <v>11275</v>
      </c>
      <c r="F39" s="67">
        <f>F40+F41+F42</f>
        <v>1692</v>
      </c>
    </row>
    <row r="40" spans="1:6" ht="18" customHeight="1" x14ac:dyDescent="0.35">
      <c r="A40" s="61" t="s">
        <v>19</v>
      </c>
      <c r="B40" s="11">
        <f t="shared" si="0"/>
        <v>66386</v>
      </c>
      <c r="C40" s="49">
        <v>33596</v>
      </c>
      <c r="D40" s="49">
        <v>32790</v>
      </c>
      <c r="E40" s="11">
        <v>5605</v>
      </c>
      <c r="F40" s="9">
        <v>457</v>
      </c>
    </row>
    <row r="41" spans="1:6" ht="18" customHeight="1" x14ac:dyDescent="0.35">
      <c r="A41" s="62" t="s">
        <v>18</v>
      </c>
      <c r="B41" s="50">
        <f t="shared" si="0"/>
        <v>45653</v>
      </c>
      <c r="C41" s="50">
        <v>22424</v>
      </c>
      <c r="D41" s="50">
        <v>23229</v>
      </c>
      <c r="E41" s="50">
        <v>3341</v>
      </c>
      <c r="F41" s="46">
        <v>1125</v>
      </c>
    </row>
    <row r="42" spans="1:6" ht="18" customHeight="1" x14ac:dyDescent="0.35">
      <c r="A42" s="61" t="s">
        <v>17</v>
      </c>
      <c r="B42" s="49">
        <f t="shared" si="0"/>
        <v>30844</v>
      </c>
      <c r="C42" s="49">
        <v>15298</v>
      </c>
      <c r="D42" s="49">
        <v>15546</v>
      </c>
      <c r="E42" s="49">
        <v>2329</v>
      </c>
      <c r="F42" s="9">
        <v>110</v>
      </c>
    </row>
    <row r="43" spans="1:6" ht="18" customHeight="1" x14ac:dyDescent="0.35">
      <c r="A43" s="62" t="s">
        <v>3</v>
      </c>
      <c r="B43" s="66">
        <f t="shared" si="0"/>
        <v>129882</v>
      </c>
      <c r="C43" s="47">
        <v>64741</v>
      </c>
      <c r="D43" s="47">
        <v>65141</v>
      </c>
      <c r="E43" s="47">
        <v>9731</v>
      </c>
      <c r="F43" s="46">
        <v>1562</v>
      </c>
    </row>
    <row r="44" spans="1:6" ht="18" customHeight="1" x14ac:dyDescent="0.35">
      <c r="A44" s="31" t="s">
        <v>2</v>
      </c>
      <c r="B44" s="30">
        <f t="shared" si="0"/>
        <v>13001</v>
      </c>
      <c r="C44" s="30">
        <v>6577</v>
      </c>
      <c r="D44" s="30">
        <v>6424</v>
      </c>
      <c r="E44" s="30">
        <v>1544</v>
      </c>
      <c r="F44" s="27">
        <v>130</v>
      </c>
    </row>
    <row r="45" spans="1:6" ht="18" customHeight="1" x14ac:dyDescent="0.35">
      <c r="A45" s="65" t="s">
        <v>16</v>
      </c>
      <c r="B45" s="64">
        <f t="shared" ref="B45:B72" si="4">C45+D45</f>
        <v>97271</v>
      </c>
      <c r="C45" s="64">
        <f>C46+C47+C48+C49</f>
        <v>50979</v>
      </c>
      <c r="D45" s="64">
        <f>D46+D47+D48+D49</f>
        <v>46292</v>
      </c>
      <c r="E45" s="64">
        <f>E46+E47+E48+E49</f>
        <v>8325</v>
      </c>
      <c r="F45" s="63">
        <f>F46+F47+F48+F49</f>
        <v>507</v>
      </c>
    </row>
    <row r="46" spans="1:6" ht="18" customHeight="1" x14ac:dyDescent="0.35">
      <c r="A46" s="61" t="s">
        <v>9</v>
      </c>
      <c r="B46" s="59">
        <f t="shared" si="4"/>
        <v>63414</v>
      </c>
      <c r="C46" s="49">
        <v>34159</v>
      </c>
      <c r="D46" s="49">
        <v>29255</v>
      </c>
      <c r="E46" s="49">
        <v>4963</v>
      </c>
      <c r="F46" s="9">
        <v>434</v>
      </c>
    </row>
    <row r="47" spans="1:6" ht="18" customHeight="1" x14ac:dyDescent="0.35">
      <c r="A47" s="62" t="s">
        <v>8</v>
      </c>
      <c r="B47" s="47">
        <f t="shared" si="4"/>
        <v>29037</v>
      </c>
      <c r="C47" s="50">
        <v>14706</v>
      </c>
      <c r="D47" s="50">
        <v>14331</v>
      </c>
      <c r="E47" s="50">
        <v>2801</v>
      </c>
      <c r="F47" s="46">
        <v>61</v>
      </c>
    </row>
    <row r="48" spans="1:6" ht="18" customHeight="1" x14ac:dyDescent="0.35">
      <c r="A48" s="61" t="s">
        <v>15</v>
      </c>
      <c r="B48" s="11">
        <f t="shared" si="4"/>
        <v>4786</v>
      </c>
      <c r="C48" s="11">
        <v>2114</v>
      </c>
      <c r="D48" s="11">
        <v>2672</v>
      </c>
      <c r="E48" s="11">
        <v>559</v>
      </c>
      <c r="F48" s="9">
        <v>10</v>
      </c>
    </row>
    <row r="49" spans="1:6" ht="18" customHeight="1" x14ac:dyDescent="0.35">
      <c r="A49" s="48" t="s">
        <v>7</v>
      </c>
      <c r="B49" s="47">
        <f t="shared" si="4"/>
        <v>34</v>
      </c>
      <c r="C49" s="50">
        <v>0</v>
      </c>
      <c r="D49" s="60">
        <v>34</v>
      </c>
      <c r="E49" s="47">
        <v>2</v>
      </c>
      <c r="F49" s="46">
        <v>2</v>
      </c>
    </row>
    <row r="50" spans="1:6" ht="18" customHeight="1" x14ac:dyDescent="0.35">
      <c r="A50" s="36" t="s">
        <v>3</v>
      </c>
      <c r="B50" s="59">
        <f t="shared" si="4"/>
        <v>64241</v>
      </c>
      <c r="C50" s="59">
        <v>33599</v>
      </c>
      <c r="D50" s="59">
        <v>30642</v>
      </c>
      <c r="E50" s="59">
        <v>4379</v>
      </c>
      <c r="F50" s="9">
        <v>180</v>
      </c>
    </row>
    <row r="51" spans="1:6" ht="18" customHeight="1" x14ac:dyDescent="0.35">
      <c r="A51" s="58" t="s">
        <v>2</v>
      </c>
      <c r="B51" s="57">
        <f t="shared" si="4"/>
        <v>33030</v>
      </c>
      <c r="C51" s="57">
        <v>17380</v>
      </c>
      <c r="D51" s="57">
        <v>15650</v>
      </c>
      <c r="E51" s="57">
        <v>3946</v>
      </c>
      <c r="F51" s="56">
        <v>327</v>
      </c>
    </row>
    <row r="52" spans="1:6" ht="18" customHeight="1" x14ac:dyDescent="0.35">
      <c r="A52" s="55" t="s">
        <v>14</v>
      </c>
      <c r="B52" s="54">
        <f t="shared" si="4"/>
        <v>79906</v>
      </c>
      <c r="C52" s="54">
        <f>C54+C55+C56</f>
        <v>42938</v>
      </c>
      <c r="D52" s="54">
        <f>D54+D55+D56</f>
        <v>36968</v>
      </c>
      <c r="E52" s="54">
        <f>E54+E55+E56</f>
        <v>6396</v>
      </c>
      <c r="F52" s="53">
        <f>F57+F58</f>
        <v>108</v>
      </c>
    </row>
    <row r="53" spans="1:6" ht="18" customHeight="1" x14ac:dyDescent="0.35">
      <c r="A53" s="48" t="s">
        <v>5</v>
      </c>
      <c r="B53" s="47">
        <f t="shared" si="4"/>
        <v>76539</v>
      </c>
      <c r="C53" s="50">
        <f>C54+C55</f>
        <v>41096</v>
      </c>
      <c r="D53" s="47">
        <f>D54+D55</f>
        <v>35443</v>
      </c>
      <c r="E53" s="47">
        <f>E54+E55</f>
        <v>5850</v>
      </c>
      <c r="F53" s="46">
        <f>F54+F55</f>
        <v>103</v>
      </c>
    </row>
    <row r="54" spans="1:6" ht="18" customHeight="1" x14ac:dyDescent="0.35">
      <c r="A54" s="52" t="s">
        <v>13</v>
      </c>
      <c r="B54" s="11">
        <f t="shared" si="4"/>
        <v>4935</v>
      </c>
      <c r="C54" s="49">
        <v>3562</v>
      </c>
      <c r="D54" s="11">
        <v>1373</v>
      </c>
      <c r="E54" s="11">
        <v>527</v>
      </c>
      <c r="F54" s="9">
        <v>9</v>
      </c>
    </row>
    <row r="55" spans="1:6" ht="18" customHeight="1" x14ac:dyDescent="0.35">
      <c r="A55" s="51" t="s">
        <v>12</v>
      </c>
      <c r="B55" s="47">
        <f t="shared" si="4"/>
        <v>71604</v>
      </c>
      <c r="C55" s="50">
        <v>37534</v>
      </c>
      <c r="D55" s="47">
        <v>34070</v>
      </c>
      <c r="E55" s="47">
        <v>5323</v>
      </c>
      <c r="F55" s="46">
        <v>94</v>
      </c>
    </row>
    <row r="56" spans="1:6" ht="18" customHeight="1" x14ac:dyDescent="0.35">
      <c r="A56" s="36" t="s">
        <v>4</v>
      </c>
      <c r="B56" s="11">
        <f t="shared" si="4"/>
        <v>3367</v>
      </c>
      <c r="C56" s="49">
        <v>1842</v>
      </c>
      <c r="D56" s="11">
        <v>1525</v>
      </c>
      <c r="E56" s="11">
        <v>546</v>
      </c>
      <c r="F56" s="9">
        <v>32</v>
      </c>
    </row>
    <row r="57" spans="1:6" ht="18" customHeight="1" x14ac:dyDescent="0.35">
      <c r="A57" s="48" t="s">
        <v>3</v>
      </c>
      <c r="B57" s="47">
        <f t="shared" si="4"/>
        <v>62257</v>
      </c>
      <c r="C57" s="47">
        <v>31657</v>
      </c>
      <c r="D57" s="47">
        <v>30600</v>
      </c>
      <c r="E57" s="47">
        <v>4252</v>
      </c>
      <c r="F57" s="46">
        <v>55</v>
      </c>
    </row>
    <row r="58" spans="1:6" ht="18" customHeight="1" x14ac:dyDescent="0.35">
      <c r="A58" s="31" t="s">
        <v>2</v>
      </c>
      <c r="B58" s="29">
        <f t="shared" si="4"/>
        <v>17649</v>
      </c>
      <c r="C58" s="30">
        <v>11281</v>
      </c>
      <c r="D58" s="30">
        <v>6368</v>
      </c>
      <c r="E58" s="30">
        <v>2144</v>
      </c>
      <c r="F58" s="27">
        <v>53</v>
      </c>
    </row>
    <row r="59" spans="1:6" ht="18" customHeight="1" x14ac:dyDescent="0.35">
      <c r="A59" s="45" t="s">
        <v>11</v>
      </c>
      <c r="B59" s="44">
        <f t="shared" si="4"/>
        <v>28894</v>
      </c>
      <c r="C59" s="44">
        <f>C60+C61</f>
        <v>14317</v>
      </c>
      <c r="D59" s="44">
        <f>D60+D61</f>
        <v>14577</v>
      </c>
      <c r="E59" s="44">
        <f>E60+E61</f>
        <v>1570</v>
      </c>
      <c r="F59" s="43">
        <f>F60+F61</f>
        <v>61</v>
      </c>
    </row>
    <row r="60" spans="1:6" ht="18" customHeight="1" x14ac:dyDescent="0.35">
      <c r="A60" s="42" t="s">
        <v>3</v>
      </c>
      <c r="B60" s="41">
        <f t="shared" si="4"/>
        <v>6443</v>
      </c>
      <c r="C60" s="41">
        <f t="shared" ref="C60:F61" si="5">C66+C71</f>
        <v>3302</v>
      </c>
      <c r="D60" s="41">
        <f t="shared" si="5"/>
        <v>3141</v>
      </c>
      <c r="E60" s="41">
        <f t="shared" si="5"/>
        <v>369</v>
      </c>
      <c r="F60" s="41">
        <f t="shared" si="5"/>
        <v>18</v>
      </c>
    </row>
    <row r="61" spans="1:6" ht="18" customHeight="1" x14ac:dyDescent="0.35">
      <c r="A61" s="40" t="s">
        <v>2</v>
      </c>
      <c r="B61" s="39">
        <f t="shared" si="4"/>
        <v>22451</v>
      </c>
      <c r="C61" s="39">
        <f t="shared" si="5"/>
        <v>11015</v>
      </c>
      <c r="D61" s="39">
        <f t="shared" si="5"/>
        <v>11436</v>
      </c>
      <c r="E61" s="39">
        <f t="shared" si="5"/>
        <v>1201</v>
      </c>
      <c r="F61" s="39">
        <f t="shared" si="5"/>
        <v>43</v>
      </c>
    </row>
    <row r="62" spans="1:6" x14ac:dyDescent="0.35">
      <c r="A62" s="26" t="s">
        <v>10</v>
      </c>
      <c r="B62" s="25">
        <f t="shared" si="4"/>
        <v>7179</v>
      </c>
      <c r="C62" s="25">
        <f>C63+C64+C65</f>
        <v>3365</v>
      </c>
      <c r="D62" s="25">
        <f>D63+D64+D65</f>
        <v>3814</v>
      </c>
      <c r="E62" s="25">
        <f>E63+E64+E65</f>
        <v>152</v>
      </c>
      <c r="F62" s="24">
        <f>F66+F67</f>
        <v>12</v>
      </c>
    </row>
    <row r="63" spans="1:6" x14ac:dyDescent="0.35">
      <c r="A63" s="38" t="s">
        <v>9</v>
      </c>
      <c r="B63" s="21">
        <f t="shared" si="4"/>
        <v>7179</v>
      </c>
      <c r="C63" s="22">
        <v>3365</v>
      </c>
      <c r="D63" s="21">
        <v>3814</v>
      </c>
      <c r="E63" s="20">
        <v>152</v>
      </c>
      <c r="F63" s="19">
        <v>12</v>
      </c>
    </row>
    <row r="64" spans="1:6" x14ac:dyDescent="0.35">
      <c r="A64" s="33" t="s">
        <v>8</v>
      </c>
      <c r="B64" s="37">
        <f t="shared" si="4"/>
        <v>0</v>
      </c>
      <c r="C64" s="37">
        <v>0</v>
      </c>
      <c r="D64" s="37">
        <v>0</v>
      </c>
      <c r="E64" s="14">
        <v>0</v>
      </c>
      <c r="F64" s="13">
        <v>0</v>
      </c>
    </row>
    <row r="65" spans="1:15" x14ac:dyDescent="0.35">
      <c r="A65" s="36" t="s">
        <v>7</v>
      </c>
      <c r="B65" s="35">
        <f t="shared" si="4"/>
        <v>0</v>
      </c>
      <c r="C65" s="35">
        <v>0</v>
      </c>
      <c r="D65" s="35">
        <v>0</v>
      </c>
      <c r="E65" s="34">
        <v>0</v>
      </c>
      <c r="F65" s="9">
        <v>0</v>
      </c>
    </row>
    <row r="66" spans="1:15" x14ac:dyDescent="0.35">
      <c r="A66" s="33" t="s">
        <v>3</v>
      </c>
      <c r="B66" s="15">
        <f t="shared" si="4"/>
        <v>3836</v>
      </c>
      <c r="C66" s="15">
        <v>1922</v>
      </c>
      <c r="D66" s="15">
        <v>1914</v>
      </c>
      <c r="E66" s="32">
        <v>101</v>
      </c>
      <c r="F66" s="13">
        <v>7</v>
      </c>
    </row>
    <row r="67" spans="1:15" x14ac:dyDescent="0.35">
      <c r="A67" s="31" t="s">
        <v>2</v>
      </c>
      <c r="B67" s="29">
        <f t="shared" si="4"/>
        <v>3343</v>
      </c>
      <c r="C67" s="30">
        <v>1443</v>
      </c>
      <c r="D67" s="29">
        <v>1900</v>
      </c>
      <c r="E67" s="28">
        <v>51</v>
      </c>
      <c r="F67" s="27">
        <v>5</v>
      </c>
    </row>
    <row r="68" spans="1:15" x14ac:dyDescent="0.35">
      <c r="A68" s="26" t="s">
        <v>6</v>
      </c>
      <c r="B68" s="25">
        <f t="shared" si="4"/>
        <v>21715</v>
      </c>
      <c r="C68" s="25">
        <f>C69+C70</f>
        <v>10952</v>
      </c>
      <c r="D68" s="25">
        <f>D69+D70</f>
        <v>10763</v>
      </c>
      <c r="E68" s="25">
        <f>E71+E72</f>
        <v>1418</v>
      </c>
      <c r="F68" s="24">
        <f>F71+F72</f>
        <v>49</v>
      </c>
    </row>
    <row r="69" spans="1:15" x14ac:dyDescent="0.35">
      <c r="A69" s="23" t="s">
        <v>5</v>
      </c>
      <c r="B69" s="21">
        <f t="shared" si="4"/>
        <v>19106</v>
      </c>
      <c r="C69" s="22">
        <v>9405</v>
      </c>
      <c r="D69" s="21">
        <v>9701</v>
      </c>
      <c r="E69" s="20">
        <v>968</v>
      </c>
      <c r="F69" s="19">
        <v>35</v>
      </c>
      <c r="G69" s="18"/>
    </row>
    <row r="70" spans="1:15" x14ac:dyDescent="0.35">
      <c r="A70" s="17" t="s">
        <v>4</v>
      </c>
      <c r="B70" s="15">
        <f t="shared" si="4"/>
        <v>2609</v>
      </c>
      <c r="C70" s="16">
        <v>1547</v>
      </c>
      <c r="D70" s="15">
        <v>1062</v>
      </c>
      <c r="E70" s="14">
        <v>450</v>
      </c>
      <c r="F70" s="13">
        <v>31</v>
      </c>
    </row>
    <row r="71" spans="1:15" x14ac:dyDescent="0.35">
      <c r="A71" s="12" t="s">
        <v>3</v>
      </c>
      <c r="B71" s="11">
        <f t="shared" si="4"/>
        <v>2607</v>
      </c>
      <c r="C71" s="11">
        <v>1380</v>
      </c>
      <c r="D71" s="11">
        <v>1227</v>
      </c>
      <c r="E71" s="10">
        <v>268</v>
      </c>
      <c r="F71" s="9">
        <v>11</v>
      </c>
    </row>
    <row r="72" spans="1:15" x14ac:dyDescent="0.35">
      <c r="A72" s="8" t="s">
        <v>2</v>
      </c>
      <c r="B72" s="6">
        <f t="shared" si="4"/>
        <v>19108</v>
      </c>
      <c r="C72" s="7">
        <v>9572</v>
      </c>
      <c r="D72" s="6">
        <v>9536</v>
      </c>
      <c r="E72" s="5">
        <v>1150</v>
      </c>
      <c r="F72" s="4">
        <v>38</v>
      </c>
    </row>
    <row r="73" spans="1:15" x14ac:dyDescent="0.35">
      <c r="F73" s="3" t="s">
        <v>1</v>
      </c>
    </row>
    <row r="74" spans="1:15" ht="41.1" customHeight="1" x14ac:dyDescent="0.35">
      <c r="A74" s="146" t="s">
        <v>0</v>
      </c>
      <c r="B74" s="146"/>
      <c r="C74" s="146"/>
      <c r="D74" s="146"/>
      <c r="E74" s="146"/>
      <c r="F74" s="146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EFB7F-2EBC-4E4B-99A2-7D16D5C24FF3}">
  <sheetPr codeName="Hoja2">
    <tabColor rgb="FFD4C19C"/>
    <pageSetUpPr fitToPage="1"/>
  </sheetPr>
  <dimension ref="A1:J67"/>
  <sheetViews>
    <sheetView showGridLines="0" showZeros="0" zoomScale="120" zoomScaleNormal="120" workbookViewId="0">
      <selection activeCell="A13" sqref="A13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87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1">
        <v>27</v>
      </c>
      <c r="C1" s="91">
        <v>28</v>
      </c>
      <c r="D1" s="91" t="e">
        <v>#VALUE!</v>
      </c>
      <c r="E1" s="91">
        <v>29</v>
      </c>
      <c r="F1" s="91" t="e">
        <v>#VALUE!</v>
      </c>
    </row>
    <row r="3" spans="1:10" ht="13.5" customHeight="1" x14ac:dyDescent="0.35">
      <c r="C3" s="86"/>
      <c r="D3" s="86"/>
      <c r="E3" s="86"/>
      <c r="F3" s="86" t="s">
        <v>41</v>
      </c>
    </row>
    <row r="4" spans="1:10" ht="3" customHeight="1" x14ac:dyDescent="0.35">
      <c r="C4" s="86"/>
      <c r="D4" s="86"/>
      <c r="E4" s="86"/>
      <c r="F4" s="86"/>
    </row>
    <row r="5" spans="1:10" ht="15" customHeight="1" x14ac:dyDescent="0.35">
      <c r="C5" s="86"/>
      <c r="D5" s="86"/>
      <c r="E5" s="86"/>
      <c r="F5" s="86" t="s">
        <v>40</v>
      </c>
    </row>
    <row r="6" spans="1:10" ht="3.75" customHeight="1" x14ac:dyDescent="0.35"/>
    <row r="7" spans="1:10" s="1" customFormat="1" ht="15.75" customHeight="1" x14ac:dyDescent="0.35">
      <c r="A7" s="140" t="s">
        <v>29</v>
      </c>
      <c r="B7" s="140"/>
      <c r="C7" s="140"/>
      <c r="D7" s="140"/>
      <c r="E7" s="140"/>
      <c r="F7" s="140"/>
      <c r="G7" s="139"/>
      <c r="H7" s="2"/>
      <c r="I7" s="2"/>
    </row>
    <row r="8" spans="1:10" s="1" customFormat="1" ht="15.75" customHeight="1" x14ac:dyDescent="0.35">
      <c r="A8" s="140" t="s">
        <v>76</v>
      </c>
      <c r="B8" s="140"/>
      <c r="C8" s="140"/>
      <c r="D8" s="140"/>
      <c r="E8" s="140"/>
      <c r="F8" s="140"/>
      <c r="G8" s="139"/>
      <c r="H8" s="2"/>
      <c r="I8" s="2"/>
    </row>
    <row r="9" spans="1:10" s="1" customFormat="1" ht="3" customHeight="1" x14ac:dyDescent="0.35">
      <c r="A9" s="145"/>
      <c r="B9" s="144"/>
      <c r="C9" s="143"/>
      <c r="D9" s="142"/>
      <c r="E9" s="143"/>
      <c r="F9" s="142"/>
      <c r="G9" s="139"/>
      <c r="H9" s="138"/>
      <c r="I9" s="2"/>
    </row>
    <row r="10" spans="1:10" s="1" customFormat="1" ht="15.75" customHeight="1" x14ac:dyDescent="0.35">
      <c r="A10" s="141" t="s">
        <v>38</v>
      </c>
      <c r="B10" s="141"/>
      <c r="C10" s="140"/>
      <c r="D10" s="140"/>
      <c r="E10" s="140"/>
      <c r="F10" s="140"/>
      <c r="G10" s="139"/>
      <c r="H10" s="138"/>
      <c r="I10" s="2"/>
    </row>
    <row r="11" spans="1:10" ht="18" customHeight="1" x14ac:dyDescent="0.35">
      <c r="A11" s="152" t="s">
        <v>75</v>
      </c>
      <c r="B11" s="137" t="s">
        <v>74</v>
      </c>
      <c r="C11" s="136" t="s">
        <v>73</v>
      </c>
      <c r="D11" s="135"/>
      <c r="E11" s="136" t="s">
        <v>72</v>
      </c>
      <c r="F11" s="135"/>
    </row>
    <row r="12" spans="1:10" ht="21.75" customHeight="1" x14ac:dyDescent="0.35">
      <c r="A12" s="153"/>
      <c r="B12" s="134" t="s">
        <v>71</v>
      </c>
      <c r="C12" s="133" t="s">
        <v>71</v>
      </c>
      <c r="D12" s="131" t="s">
        <v>70</v>
      </c>
      <c r="E12" s="132" t="s">
        <v>71</v>
      </c>
      <c r="F12" s="131" t="s">
        <v>70</v>
      </c>
    </row>
    <row r="13" spans="1:10" x14ac:dyDescent="0.35">
      <c r="A13" s="130" t="s">
        <v>28</v>
      </c>
      <c r="B13" s="129"/>
      <c r="C13" s="128"/>
      <c r="D13" s="128"/>
      <c r="E13" s="127"/>
      <c r="F13" s="126"/>
      <c r="H13" s="88"/>
    </row>
    <row r="14" spans="1:10" x14ac:dyDescent="0.35">
      <c r="A14" s="106" t="s">
        <v>69</v>
      </c>
      <c r="B14" s="105">
        <v>93.788458271692903</v>
      </c>
      <c r="C14" s="105">
        <v>91.655543380814819</v>
      </c>
      <c r="D14" s="104">
        <v>90.548895792070439</v>
      </c>
      <c r="E14" s="103">
        <v>93.166437745004657</v>
      </c>
      <c r="F14" s="102">
        <v>92.175076705359459</v>
      </c>
      <c r="H14" s="88"/>
      <c r="I14" s="88"/>
      <c r="J14" s="88"/>
    </row>
    <row r="15" spans="1:10" x14ac:dyDescent="0.35">
      <c r="A15" s="111" t="s">
        <v>68</v>
      </c>
      <c r="B15" s="110">
        <v>93.04910289458536</v>
      </c>
      <c r="C15" s="110">
        <v>91.045256831689741</v>
      </c>
      <c r="D15" s="109">
        <v>89.822984263753895</v>
      </c>
      <c r="E15" s="108">
        <v>92.546009912140875</v>
      </c>
      <c r="F15" s="107">
        <v>91.436409983971117</v>
      </c>
      <c r="H15" s="88"/>
      <c r="I15" s="88"/>
      <c r="J15" s="88"/>
    </row>
    <row r="16" spans="1:10" x14ac:dyDescent="0.35">
      <c r="A16" s="125" t="s">
        <v>26</v>
      </c>
      <c r="B16" s="124"/>
      <c r="C16" s="124"/>
      <c r="D16" s="124"/>
      <c r="E16" s="124"/>
      <c r="F16" s="123"/>
      <c r="H16" s="88"/>
      <c r="I16" s="88"/>
      <c r="J16" s="88"/>
    </row>
    <row r="17" spans="1:10" x14ac:dyDescent="0.35">
      <c r="A17" s="106" t="s">
        <v>67</v>
      </c>
      <c r="B17" s="105">
        <v>51.378606586898236</v>
      </c>
      <c r="C17" s="105">
        <v>45.994550408719348</v>
      </c>
      <c r="D17" s="104">
        <v>38.580942141638275</v>
      </c>
      <c r="E17" s="103">
        <v>57.390135624974548</v>
      </c>
      <c r="F17" s="102">
        <v>48.361513668823143</v>
      </c>
      <c r="H17" s="88"/>
      <c r="I17" s="88"/>
      <c r="J17" s="88"/>
    </row>
    <row r="18" spans="1:10" x14ac:dyDescent="0.35">
      <c r="A18" s="111" t="s">
        <v>66</v>
      </c>
      <c r="B18" s="110">
        <v>87.905765503875969</v>
      </c>
      <c r="C18" s="110">
        <v>84.345176036570692</v>
      </c>
      <c r="D18" s="109">
        <v>77.998743134706629</v>
      </c>
      <c r="E18" s="108">
        <v>95.138228810645742</v>
      </c>
      <c r="F18" s="107">
        <v>88.525570726115859</v>
      </c>
      <c r="H18" s="88"/>
      <c r="I18" s="88"/>
      <c r="J18" s="88"/>
    </row>
    <row r="19" spans="1:10" x14ac:dyDescent="0.35">
      <c r="A19" s="106" t="s">
        <v>65</v>
      </c>
      <c r="B19" s="105">
        <v>94.902615923722607</v>
      </c>
      <c r="C19" s="105">
        <v>90.721190793997494</v>
      </c>
      <c r="D19" s="104">
        <v>73.121669901048492</v>
      </c>
      <c r="E19" s="103">
        <v>94.538515617153763</v>
      </c>
      <c r="F19" s="102">
        <v>77.265666530891224</v>
      </c>
      <c r="H19" s="88"/>
      <c r="I19" s="88"/>
      <c r="J19" s="88"/>
    </row>
    <row r="20" spans="1:10" x14ac:dyDescent="0.35">
      <c r="A20" s="111" t="s">
        <v>64</v>
      </c>
      <c r="B20" s="110">
        <v>77.931735285804663</v>
      </c>
      <c r="C20" s="110">
        <v>73.699342366004544</v>
      </c>
      <c r="D20" s="109">
        <v>63.307350306076884</v>
      </c>
      <c r="E20" s="108">
        <v>82.44077714408985</v>
      </c>
      <c r="F20" s="107">
        <v>71.448553833817613</v>
      </c>
      <c r="H20" s="88"/>
      <c r="I20" s="88"/>
      <c r="J20" s="88"/>
    </row>
    <row r="21" spans="1:10" x14ac:dyDescent="0.35">
      <c r="A21" s="106" t="s">
        <v>63</v>
      </c>
      <c r="B21" s="105">
        <v>78.040081293153335</v>
      </c>
      <c r="C21" s="105">
        <v>73.976771211887112</v>
      </c>
      <c r="D21" s="104">
        <v>63.672054942229941</v>
      </c>
      <c r="E21" s="103">
        <v>82.750879747603449</v>
      </c>
      <c r="F21" s="102">
        <v>71.858408255034533</v>
      </c>
      <c r="H21" s="88"/>
      <c r="I21" s="88"/>
      <c r="J21" s="88"/>
    </row>
    <row r="22" spans="1:10" x14ac:dyDescent="0.35">
      <c r="A22" s="125" t="s">
        <v>24</v>
      </c>
      <c r="B22" s="124"/>
      <c r="C22" s="124"/>
      <c r="D22" s="124"/>
      <c r="E22" s="124"/>
      <c r="F22" s="123"/>
      <c r="H22" s="88"/>
      <c r="I22" s="88"/>
      <c r="J22" s="88"/>
    </row>
    <row r="23" spans="1:10" x14ac:dyDescent="0.35">
      <c r="A23" s="106" t="s">
        <v>50</v>
      </c>
      <c r="B23" s="105">
        <v>1.0202744321979429</v>
      </c>
      <c r="C23" s="105">
        <v>0.87170810651757691</v>
      </c>
      <c r="D23" s="104">
        <v>0.43876962396363073</v>
      </c>
      <c r="E23" s="105">
        <v>0.77794643825219723</v>
      </c>
      <c r="F23" s="102">
        <v>0.39712680772554521</v>
      </c>
      <c r="H23" s="88"/>
      <c r="I23" s="88"/>
      <c r="J23" s="88"/>
    </row>
    <row r="24" spans="1:10" x14ac:dyDescent="0.35">
      <c r="A24" s="111" t="s">
        <v>58</v>
      </c>
      <c r="B24" s="110">
        <v>0.35502648792091751</v>
      </c>
      <c r="C24" s="110">
        <v>0.23714886936770929</v>
      </c>
      <c r="D24" s="109">
        <v>0.47104009397397339</v>
      </c>
      <c r="E24" s="110">
        <v>0.11915239320289261</v>
      </c>
      <c r="F24" s="107">
        <v>0.45218297092196602</v>
      </c>
      <c r="H24" s="88"/>
      <c r="I24" s="88"/>
      <c r="J24" s="88"/>
    </row>
    <row r="25" spans="1:10" x14ac:dyDescent="0.35">
      <c r="A25" s="106" t="s">
        <v>57</v>
      </c>
      <c r="B25" s="105">
        <v>98.508641785005494</v>
      </c>
      <c r="C25" s="105">
        <v>98.062082970699166</v>
      </c>
      <c r="D25" s="104">
        <v>96.9551648474215</v>
      </c>
      <c r="E25" s="105">
        <v>99.858582287431503</v>
      </c>
      <c r="F25" s="102">
        <v>98.150026946338286</v>
      </c>
      <c r="H25" s="88"/>
      <c r="I25" s="88"/>
      <c r="J25" s="88"/>
    </row>
    <row r="26" spans="1:10" x14ac:dyDescent="0.35">
      <c r="A26" s="111" t="s">
        <v>56</v>
      </c>
      <c r="B26" s="110">
        <v>98.956720346856613</v>
      </c>
      <c r="C26" s="110">
        <v>99.120286200222864</v>
      </c>
      <c r="D26" s="109">
        <v>101.9341223948949</v>
      </c>
      <c r="E26" s="110">
        <v>100.44055474337192</v>
      </c>
      <c r="F26" s="107">
        <v>103.78941864704068</v>
      </c>
      <c r="H26" s="88"/>
      <c r="I26" s="88"/>
      <c r="J26" s="88"/>
    </row>
    <row r="27" spans="1:10" x14ac:dyDescent="0.35">
      <c r="A27" s="106" t="s">
        <v>62</v>
      </c>
      <c r="B27" s="105">
        <v>101.11413322555319</v>
      </c>
      <c r="C27" s="105">
        <v>99.996322042002276</v>
      </c>
      <c r="D27" s="104">
        <v>101.72046958709984</v>
      </c>
      <c r="E27" s="105">
        <v>99.294492872594901</v>
      </c>
      <c r="F27" s="102">
        <v>101.19578388660526</v>
      </c>
      <c r="H27" s="88"/>
      <c r="I27" s="88"/>
      <c r="J27" s="88"/>
    </row>
    <row r="28" spans="1:10" x14ac:dyDescent="0.35">
      <c r="A28" s="111" t="s">
        <v>61</v>
      </c>
      <c r="B28" s="110">
        <v>98.368720784233176</v>
      </c>
      <c r="C28" s="110">
        <v>97.658812554542436</v>
      </c>
      <c r="D28" s="109">
        <v>96.314695429046509</v>
      </c>
      <c r="E28" s="110">
        <v>96.973418160163916</v>
      </c>
      <c r="F28" s="107">
        <v>95.816612827648669</v>
      </c>
      <c r="H28" s="88"/>
      <c r="I28" s="88"/>
      <c r="J28" s="88"/>
    </row>
    <row r="29" spans="1:10" x14ac:dyDescent="0.35">
      <c r="A29" s="125" t="s">
        <v>20</v>
      </c>
      <c r="B29" s="124"/>
      <c r="C29" s="124"/>
      <c r="D29" s="124"/>
      <c r="E29" s="124"/>
      <c r="F29" s="123"/>
      <c r="H29" s="88"/>
      <c r="I29" s="88"/>
      <c r="J29" s="88"/>
    </row>
    <row r="30" spans="1:10" x14ac:dyDescent="0.35">
      <c r="A30" s="106" t="s">
        <v>51</v>
      </c>
      <c r="B30" s="105">
        <v>95.357576458345378</v>
      </c>
      <c r="C30" s="105">
        <v>93.821026894865525</v>
      </c>
      <c r="D30" s="104">
        <v>93.105822485612947</v>
      </c>
      <c r="E30" s="103">
        <v>95.000295840482806</v>
      </c>
      <c r="F30" s="102">
        <v>95.031628893548429</v>
      </c>
      <c r="H30" s="88"/>
      <c r="I30" s="88"/>
      <c r="J30" s="88"/>
    </row>
    <row r="31" spans="1:10" x14ac:dyDescent="0.35">
      <c r="A31" s="111" t="s">
        <v>50</v>
      </c>
      <c r="B31" s="110">
        <v>4.1207338404588567</v>
      </c>
      <c r="C31" s="110">
        <v>4.0977583057466571</v>
      </c>
      <c r="D31" s="109">
        <v>2.54778221710249</v>
      </c>
      <c r="E31" s="108">
        <v>4.0902094147127315</v>
      </c>
      <c r="F31" s="107">
        <v>2.2918429271874818</v>
      </c>
      <c r="H31" s="88"/>
      <c r="I31" s="88"/>
      <c r="J31" s="88"/>
    </row>
    <row r="32" spans="1:10" x14ac:dyDescent="0.35">
      <c r="A32" s="106" t="s">
        <v>58</v>
      </c>
      <c r="B32" s="105">
        <v>4.5779793225990133</v>
      </c>
      <c r="C32" s="105">
        <v>4.5484802991247246</v>
      </c>
      <c r="D32" s="104">
        <v>2.2384648038226818</v>
      </c>
      <c r="E32" s="103">
        <v>4.5195734693286198</v>
      </c>
      <c r="F32" s="102">
        <v>2.1403697727291782</v>
      </c>
      <c r="H32" s="88"/>
      <c r="I32" s="88"/>
      <c r="J32" s="88"/>
    </row>
    <row r="33" spans="1:10" x14ac:dyDescent="0.35">
      <c r="A33" s="111" t="s">
        <v>57</v>
      </c>
      <c r="B33" s="110">
        <v>89.452929634901707</v>
      </c>
      <c r="C33" s="110">
        <v>89.601212502952521</v>
      </c>
      <c r="D33" s="109">
        <v>92.865387576774694</v>
      </c>
      <c r="E33" s="108">
        <v>87.983509154844185</v>
      </c>
      <c r="F33" s="107">
        <v>92.527364626036132</v>
      </c>
      <c r="H33" s="88"/>
      <c r="I33" s="88"/>
      <c r="J33" s="88"/>
    </row>
    <row r="34" spans="1:10" x14ac:dyDescent="0.35">
      <c r="A34" s="106" t="s">
        <v>56</v>
      </c>
      <c r="B34" s="105">
        <v>88.654821367293252</v>
      </c>
      <c r="C34" s="105">
        <v>87.63138643976437</v>
      </c>
      <c r="D34" s="104">
        <v>91.876923795994145</v>
      </c>
      <c r="E34" s="103">
        <v>84.624654978035224</v>
      </c>
      <c r="F34" s="102">
        <v>89.804444151920364</v>
      </c>
      <c r="H34" s="88"/>
      <c r="I34" s="88"/>
      <c r="J34" s="88"/>
    </row>
    <row r="35" spans="1:10" x14ac:dyDescent="0.35">
      <c r="A35" s="111" t="s">
        <v>60</v>
      </c>
      <c r="B35" s="110">
        <v>94.615503040566551</v>
      </c>
      <c r="C35" s="110">
        <v>92.544399393758823</v>
      </c>
      <c r="D35" s="109">
        <v>94.670888333927934</v>
      </c>
      <c r="E35" s="108">
        <v>91.358323467659119</v>
      </c>
      <c r="F35" s="107">
        <v>94.056932269296951</v>
      </c>
      <c r="H35" s="88"/>
      <c r="I35" s="88"/>
      <c r="J35" s="88"/>
    </row>
    <row r="36" spans="1:10" x14ac:dyDescent="0.35">
      <c r="A36" s="106" t="s">
        <v>59</v>
      </c>
      <c r="B36" s="105">
        <v>83.638672927411278</v>
      </c>
      <c r="C36" s="105">
        <v>81.891783359456966</v>
      </c>
      <c r="D36" s="104">
        <v>83.855666307503625</v>
      </c>
      <c r="E36" s="103">
        <v>80.842059821960007</v>
      </c>
      <c r="F36" s="122">
        <v>83.305904438452842</v>
      </c>
      <c r="H36" s="88"/>
      <c r="I36" s="88"/>
      <c r="J36" s="88"/>
    </row>
    <row r="37" spans="1:10" x14ac:dyDescent="0.35">
      <c r="A37" s="121" t="s">
        <v>10</v>
      </c>
      <c r="B37" s="120"/>
      <c r="C37" s="120"/>
      <c r="D37" s="120"/>
      <c r="E37" s="120"/>
      <c r="F37" s="119"/>
      <c r="H37" s="88"/>
      <c r="I37" s="88"/>
      <c r="J37" s="88"/>
    </row>
    <row r="38" spans="1:10" x14ac:dyDescent="0.35">
      <c r="A38" s="106" t="s">
        <v>51</v>
      </c>
      <c r="B38" s="105">
        <v>82.852536908196157</v>
      </c>
      <c r="C38" s="105">
        <v>84.155860912199216</v>
      </c>
      <c r="D38" s="104">
        <v>90.303209142071765</v>
      </c>
      <c r="E38" s="103">
        <v>85.136530392566073</v>
      </c>
      <c r="F38" s="102">
        <v>91.299275514381847</v>
      </c>
      <c r="H38" s="88"/>
      <c r="I38" s="88"/>
      <c r="J38" s="88"/>
    </row>
    <row r="39" spans="1:10" x14ac:dyDescent="0.35">
      <c r="A39" s="111" t="s">
        <v>50</v>
      </c>
      <c r="B39" s="110">
        <v>12.850255661066468</v>
      </c>
      <c r="C39" s="110">
        <v>8.1134150980251007</v>
      </c>
      <c r="D39" s="109">
        <v>9.2482325469735116</v>
      </c>
      <c r="E39" s="108">
        <v>7.746500858525418</v>
      </c>
      <c r="F39" s="107">
        <v>9.2356339587371004</v>
      </c>
      <c r="H39" s="88"/>
      <c r="I39" s="88"/>
      <c r="J39" s="88"/>
    </row>
    <row r="40" spans="1:10" x14ac:dyDescent="0.35">
      <c r="A40" s="106" t="s">
        <v>58</v>
      </c>
      <c r="B40" s="105">
        <v>13.154457905522342</v>
      </c>
      <c r="C40" s="105">
        <v>13.032725537199941</v>
      </c>
      <c r="D40" s="104">
        <v>12.053771184956375</v>
      </c>
      <c r="E40" s="103">
        <v>12.910857255511864</v>
      </c>
      <c r="F40" s="102">
        <v>11.972895108572123</v>
      </c>
      <c r="H40" s="88"/>
      <c r="I40" s="88"/>
      <c r="J40" s="88"/>
    </row>
    <row r="41" spans="1:10" x14ac:dyDescent="0.35">
      <c r="A41" s="111" t="s">
        <v>57</v>
      </c>
      <c r="B41" s="110">
        <v>67.88599397916532</v>
      </c>
      <c r="C41" s="110">
        <v>73.974279051511161</v>
      </c>
      <c r="D41" s="109">
        <v>70.240267556253883</v>
      </c>
      <c r="E41" s="108">
        <v>78.858166922683054</v>
      </c>
      <c r="F41" s="107">
        <v>73.212677807008802</v>
      </c>
      <c r="H41" s="88"/>
      <c r="I41" s="88"/>
      <c r="J41" s="88"/>
    </row>
    <row r="42" spans="1:10" x14ac:dyDescent="0.35">
      <c r="A42" s="106" t="s">
        <v>56</v>
      </c>
      <c r="B42" s="105">
        <v>60.938623947741902</v>
      </c>
      <c r="C42" s="105">
        <v>62.308440295604825</v>
      </c>
      <c r="D42" s="104">
        <v>63.600436314437992</v>
      </c>
      <c r="E42" s="103">
        <v>60.014807887148315</v>
      </c>
      <c r="F42" s="102">
        <v>60.075548708762398</v>
      </c>
      <c r="H42" s="88"/>
      <c r="I42" s="88"/>
      <c r="J42" s="88"/>
    </row>
    <row r="43" spans="1:10" x14ac:dyDescent="0.35">
      <c r="A43" s="111" t="s">
        <v>55</v>
      </c>
      <c r="B43" s="110">
        <v>65.51367699699469</v>
      </c>
      <c r="C43" s="110">
        <v>62.440461670796367</v>
      </c>
      <c r="D43" s="109">
        <v>72.862042704061992</v>
      </c>
      <c r="E43" s="108">
        <v>62.205866169511715</v>
      </c>
      <c r="F43" s="107">
        <v>73.197457862217306</v>
      </c>
      <c r="H43" s="88"/>
      <c r="I43" s="88"/>
      <c r="J43" s="88"/>
    </row>
    <row r="44" spans="1:10" x14ac:dyDescent="0.35">
      <c r="A44" s="106" t="s">
        <v>54</v>
      </c>
      <c r="B44" s="105">
        <v>71.073167307925445</v>
      </c>
      <c r="C44" s="105">
        <v>67.048824639560408</v>
      </c>
      <c r="D44" s="104">
        <v>78.400458538136903</v>
      </c>
      <c r="E44" s="103">
        <v>66.796781439548411</v>
      </c>
      <c r="F44" s="102">
        <v>78.773452915283144</v>
      </c>
      <c r="H44" s="88"/>
      <c r="I44" s="118"/>
      <c r="J44" s="118"/>
    </row>
    <row r="45" spans="1:10" x14ac:dyDescent="0.35">
      <c r="A45" s="111" t="s">
        <v>53</v>
      </c>
      <c r="B45" s="110">
        <v>56.344633525391927</v>
      </c>
      <c r="C45" s="110">
        <v>54.169287850971223</v>
      </c>
      <c r="D45" s="109">
        <v>60.675903080458362</v>
      </c>
      <c r="E45" s="108">
        <v>52.477035713592137</v>
      </c>
      <c r="F45" s="107">
        <v>59.146954254527095</v>
      </c>
      <c r="H45" s="88"/>
      <c r="I45" s="88"/>
      <c r="J45" s="88"/>
    </row>
    <row r="46" spans="1:10" x14ac:dyDescent="0.35">
      <c r="A46" s="117" t="s">
        <v>52</v>
      </c>
      <c r="B46" s="116"/>
      <c r="C46" s="116"/>
      <c r="D46" s="116"/>
      <c r="E46" s="116"/>
      <c r="F46" s="115"/>
      <c r="H46" s="88"/>
      <c r="I46" s="88"/>
      <c r="J46" s="88"/>
    </row>
    <row r="47" spans="1:10" x14ac:dyDescent="0.35">
      <c r="A47" s="106" t="s">
        <v>51</v>
      </c>
      <c r="B47" s="105">
        <v>55.46285035495093</v>
      </c>
      <c r="C47" s="105">
        <v>61.089841755997952</v>
      </c>
      <c r="D47" s="104">
        <v>68.075095204300098</v>
      </c>
      <c r="E47" s="103">
        <v>61.193517159541578</v>
      </c>
      <c r="F47" s="102">
        <v>69.076045758390194</v>
      </c>
      <c r="H47" s="88"/>
      <c r="I47" s="88"/>
      <c r="J47" s="88"/>
    </row>
    <row r="48" spans="1:10" x14ac:dyDescent="0.35">
      <c r="A48" s="111" t="s">
        <v>50</v>
      </c>
      <c r="B48" s="109">
        <v>10.995891471850673</v>
      </c>
      <c r="C48" s="109">
        <v>10.636407583062235</v>
      </c>
      <c r="D48" s="109">
        <v>8.5439504278360232</v>
      </c>
      <c r="E48" s="108">
        <v>10.694779790571863</v>
      </c>
      <c r="F48" s="107">
        <v>8.3337551407782318</v>
      </c>
      <c r="H48" s="88"/>
      <c r="I48" s="88"/>
      <c r="J48" s="88"/>
    </row>
    <row r="49" spans="1:10" x14ac:dyDescent="0.35">
      <c r="A49" s="106" t="s">
        <v>49</v>
      </c>
      <c r="B49" s="105">
        <v>26.445959298553788</v>
      </c>
      <c r="C49" s="105">
        <v>26.600221041558473</v>
      </c>
      <c r="D49" s="104">
        <v>30.621789759912865</v>
      </c>
      <c r="E49" s="103">
        <v>26.969910938509599</v>
      </c>
      <c r="F49" s="102">
        <v>30.806235981494044</v>
      </c>
      <c r="H49" s="88"/>
      <c r="I49" s="88"/>
      <c r="J49" s="88"/>
    </row>
    <row r="50" spans="1:10" x14ac:dyDescent="0.35">
      <c r="A50" s="111" t="s">
        <v>48</v>
      </c>
      <c r="B50" s="110">
        <v>30.259807835146546</v>
      </c>
      <c r="C50" s="110">
        <v>30.413653341810381</v>
      </c>
      <c r="D50" s="109">
        <v>34.484611655840489</v>
      </c>
      <c r="E50" s="108">
        <v>30.835957128772701</v>
      </c>
      <c r="F50" s="107">
        <v>34.683476115270743</v>
      </c>
      <c r="H50" s="88"/>
      <c r="I50" s="88"/>
      <c r="J50" s="88"/>
    </row>
    <row r="51" spans="1:10" x14ac:dyDescent="0.35">
      <c r="A51" s="106" t="s">
        <v>47</v>
      </c>
      <c r="B51" s="105">
        <v>36.970086946850813</v>
      </c>
      <c r="C51" s="105">
        <v>38.005642533577053</v>
      </c>
      <c r="D51" s="104">
        <v>42.545891307303194</v>
      </c>
      <c r="E51" s="103">
        <v>38.465636230639575</v>
      </c>
      <c r="F51" s="102">
        <v>42.84947472301657</v>
      </c>
      <c r="H51" s="88"/>
      <c r="I51" s="88"/>
      <c r="J51" s="88"/>
    </row>
    <row r="52" spans="1:10" x14ac:dyDescent="0.35">
      <c r="A52" s="114" t="s">
        <v>46</v>
      </c>
      <c r="B52" s="113"/>
      <c r="C52" s="113"/>
      <c r="D52" s="113"/>
      <c r="E52" s="113"/>
      <c r="F52" s="112"/>
      <c r="H52" s="88"/>
      <c r="I52" s="88"/>
      <c r="J52" s="88"/>
    </row>
    <row r="53" spans="1:10" x14ac:dyDescent="0.35">
      <c r="A53" s="111" t="s">
        <v>45</v>
      </c>
      <c r="B53" s="110">
        <v>13.373265544951419</v>
      </c>
      <c r="C53" s="110">
        <v>13.120418402285413</v>
      </c>
      <c r="D53" s="109">
        <v>13.596245811879109</v>
      </c>
      <c r="E53" s="108">
        <v>13.025822812532301</v>
      </c>
      <c r="F53" s="107">
        <v>13.486295481889201</v>
      </c>
      <c r="H53" s="88"/>
      <c r="I53" s="88"/>
      <c r="J53" s="88"/>
    </row>
    <row r="54" spans="1:10" x14ac:dyDescent="0.35">
      <c r="A54" s="106" t="s">
        <v>44</v>
      </c>
      <c r="B54" s="105">
        <v>9.61</v>
      </c>
      <c r="C54" s="105">
        <v>9.7680009579262457</v>
      </c>
      <c r="D54" s="104">
        <v>9.8556313156987496</v>
      </c>
      <c r="E54" s="103">
        <v>9.9260019158524919</v>
      </c>
      <c r="F54" s="102">
        <v>9.971262631397499</v>
      </c>
      <c r="H54" s="88"/>
      <c r="I54" s="88"/>
      <c r="J54" s="88"/>
    </row>
    <row r="55" spans="1:10" x14ac:dyDescent="0.35">
      <c r="A55" s="101" t="s">
        <v>43</v>
      </c>
      <c r="B55" s="100">
        <v>4.8776332006202114</v>
      </c>
      <c r="C55" s="100">
        <v>4.6380855860281924</v>
      </c>
      <c r="D55" s="99">
        <v>4.4889089590471833</v>
      </c>
      <c r="E55" s="98">
        <v>4.3513752522618532</v>
      </c>
      <c r="F55" s="97">
        <v>4.3201167946423542</v>
      </c>
      <c r="H55" s="88"/>
      <c r="I55" s="88"/>
      <c r="J55" s="88"/>
    </row>
    <row r="56" spans="1:10" ht="14.25" customHeight="1" x14ac:dyDescent="0.35">
      <c r="A56" s="96"/>
      <c r="B56" s="95"/>
      <c r="D56" s="94"/>
      <c r="F56" s="94" t="s">
        <v>1</v>
      </c>
      <c r="H56" s="88"/>
      <c r="I56" s="88"/>
      <c r="J56" s="88"/>
    </row>
    <row r="57" spans="1:10" s="91" customFormat="1" ht="83.25" customHeight="1" x14ac:dyDescent="0.35">
      <c r="A57" s="154" t="s">
        <v>42</v>
      </c>
      <c r="B57" s="154"/>
      <c r="C57" s="154"/>
      <c r="D57" s="154"/>
      <c r="E57" s="93"/>
      <c r="G57" s="92"/>
      <c r="H57" s="88"/>
      <c r="I57" s="88"/>
      <c r="J57" s="88"/>
    </row>
    <row r="58" spans="1:10" x14ac:dyDescent="0.35">
      <c r="B58" s="88"/>
      <c r="C58" s="88"/>
      <c r="D58" s="88"/>
      <c r="E58" s="90"/>
      <c r="H58" s="88"/>
      <c r="I58" s="88"/>
      <c r="J58" s="88"/>
    </row>
    <row r="59" spans="1:10" x14ac:dyDescent="0.35">
      <c r="H59" s="88"/>
      <c r="I59" s="88"/>
      <c r="J59" s="88"/>
    </row>
    <row r="60" spans="1:10" x14ac:dyDescent="0.35">
      <c r="E60" s="89"/>
      <c r="H60" s="88"/>
      <c r="I60" s="88"/>
      <c r="J60" s="88"/>
    </row>
    <row r="61" spans="1:10" x14ac:dyDescent="0.35">
      <c r="E61" s="89"/>
      <c r="H61" s="88"/>
    </row>
    <row r="62" spans="1:10" x14ac:dyDescent="0.35">
      <c r="A62" s="89"/>
      <c r="B62" s="89"/>
      <c r="C62" s="89"/>
      <c r="D62" s="89"/>
      <c r="E62" s="89"/>
      <c r="H62" s="88"/>
    </row>
    <row r="63" spans="1:10" x14ac:dyDescent="0.35">
      <c r="A63" s="89"/>
      <c r="B63" s="89"/>
      <c r="C63" s="89"/>
      <c r="D63" s="89"/>
      <c r="E63" s="89"/>
      <c r="H63" s="88"/>
    </row>
    <row r="64" spans="1:10" x14ac:dyDescent="0.35">
      <c r="A64" s="89"/>
      <c r="B64" s="89"/>
      <c r="C64" s="89"/>
      <c r="D64" s="89"/>
      <c r="E64" s="89"/>
      <c r="H64" s="88"/>
    </row>
    <row r="65" spans="8:8" x14ac:dyDescent="0.35">
      <c r="H65" s="88"/>
    </row>
    <row r="66" spans="8:8" x14ac:dyDescent="0.35">
      <c r="H66" s="88"/>
    </row>
    <row r="67" spans="8:8" x14ac:dyDescent="0.35">
      <c r="H67" s="88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SLP</vt:lpstr>
      <vt:lpstr>SLP</vt:lpstr>
      <vt:lpstr>'Est SLP'!Área_de_impresión</vt:lpstr>
      <vt:lpstr>SLP!Área_de_impresión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2022-09-07T17:53:58Z</cp:lastPrinted>
  <dcterms:created xsi:type="dcterms:W3CDTF">2022-09-06T18:59:41Z</dcterms:created>
  <dcterms:modified xsi:type="dcterms:W3CDTF">2022-09-07T19:09:52Z</dcterms:modified>
</cp:coreProperties>
</file>