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6C9F7FD9-29DB-4205-9F47-774CF0542D77}" xr6:coauthVersionLast="47" xr6:coauthVersionMax="47" xr10:uidLastSave="{00000000-0000-0000-0000-000000000000}"/>
  <bookViews>
    <workbookView xWindow="-120" yWindow="-120" windowWidth="29040" windowHeight="15840" xr2:uid="{3CF89BC5-5ECB-4508-A072-F4491C0D1964}"/>
  </bookViews>
  <sheets>
    <sheet name="Est Tlax" sheetId="1" r:id="rId1"/>
    <sheet name="TLAX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Tlax'!$A$1:$F$74</definedName>
    <definedName name="_xlnm.Print_Area" localSheetId="1">TLAX!$A$1:$F$57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E15" i="1"/>
  <c r="C17" i="1"/>
  <c r="E18" i="1"/>
  <c r="C19" i="1"/>
  <c r="E19" i="1"/>
  <c r="F19" i="1"/>
  <c r="C20" i="1"/>
  <c r="D20" i="1"/>
  <c r="D17" i="1" s="1"/>
  <c r="E20" i="1"/>
  <c r="E17" i="1" s="1"/>
  <c r="F20" i="1"/>
  <c r="F17" i="1" s="1"/>
  <c r="C21" i="1"/>
  <c r="C18" i="1" s="1"/>
  <c r="D21" i="1"/>
  <c r="D18" i="1" s="1"/>
  <c r="D15" i="1" s="1"/>
  <c r="E21" i="1"/>
  <c r="F21" i="1"/>
  <c r="F18" i="1" s="1"/>
  <c r="F15" i="1" s="1"/>
  <c r="C22" i="1"/>
  <c r="B22" i="1" s="1"/>
  <c r="D22" i="1"/>
  <c r="E22" i="1"/>
  <c r="F22" i="1"/>
  <c r="B23" i="1"/>
  <c r="B24" i="1"/>
  <c r="B25" i="1"/>
  <c r="B26" i="1"/>
  <c r="B27" i="1"/>
  <c r="C27" i="1"/>
  <c r="D27" i="1"/>
  <c r="E27" i="1"/>
  <c r="F27" i="1"/>
  <c r="B28" i="1"/>
  <c r="B29" i="1"/>
  <c r="B30" i="1"/>
  <c r="B31" i="1"/>
  <c r="B32" i="1"/>
  <c r="C33" i="1"/>
  <c r="D33" i="1"/>
  <c r="B33" i="1" s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C53" i="1"/>
  <c r="D53" i="1"/>
  <c r="B53" i="1" s="1"/>
  <c r="E53" i="1"/>
  <c r="F53" i="1"/>
  <c r="B54" i="1"/>
  <c r="B55" i="1"/>
  <c r="B56" i="1"/>
  <c r="B57" i="1"/>
  <c r="B58" i="1"/>
  <c r="D59" i="1"/>
  <c r="F59" i="1"/>
  <c r="C60" i="1"/>
  <c r="C59" i="1" s="1"/>
  <c r="B59" i="1" s="1"/>
  <c r="D60" i="1"/>
  <c r="E60" i="1"/>
  <c r="E59" i="1" s="1"/>
  <c r="F60" i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E16" i="1" l="1"/>
  <c r="E13" i="1" s="1"/>
  <c r="E14" i="1"/>
  <c r="D16" i="1"/>
  <c r="D13" i="1" s="1"/>
  <c r="D14" i="1"/>
  <c r="F16" i="1"/>
  <c r="F13" i="1" s="1"/>
  <c r="F14" i="1"/>
  <c r="B17" i="1"/>
  <c r="B14" i="1"/>
  <c r="C15" i="1"/>
  <c r="B15" i="1" s="1"/>
  <c r="B18" i="1"/>
  <c r="C16" i="1"/>
  <c r="D19" i="1"/>
  <c r="B19" i="1" s="1"/>
  <c r="B60" i="1"/>
  <c r="B21" i="1"/>
  <c r="B20" i="1"/>
  <c r="C13" i="1" l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<sst xmlns="http://schemas.openxmlformats.org/spreadsheetml/2006/main" count="133" uniqueCount="78">
  <si>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</si>
  <si>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</si>
  <si>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</si>
  <si>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</si>
  <si>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</si>
  <si>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</si>
  <si>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</si>
  <si>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</si>
  <si>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</si>
  <si>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</si>
  <si>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</si>
  <si>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</si>
  <si>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</si>
  <si>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</si>
  <si>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</si>
  <si>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</si>
  <si>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</si>
  <si>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</si>
  <si>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</si>
  <si>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</si>
  <si>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</si>
  <si>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</si>
  <si>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</si>
  <si>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</si>
  <si>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</si>
  <si>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</si>
  <si>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</si>
  <si>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</si>
  <si>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</si>
  <si>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</si>
  <si>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</si>
  <si>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</si>
  <si>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</si>
  <si>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</si>
  <si>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</si>
  <si>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</si>
  <si>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</si>
  <si>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</si>
  <si>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Tlaxcala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</si>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</sst>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BF1A1E2F-3474-4407-8F65-41D60587FA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4B8CC2A1-87CB-444A-B60A-DC2C8F164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1803DCF5-0B0C-4C19-B908-CFCA15101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1CD2-BDB6-47C4-A04B-B23AB7E9EEC4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4" t="s">
        <v>39</v>
      </c>
      <c r="B7" s="144"/>
      <c r="C7" s="144"/>
      <c r="D7" s="144"/>
      <c r="E7" s="144"/>
      <c r="F7" s="144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4" t="s">
        <v>38</v>
      </c>
      <c r="B8" s="144"/>
      <c r="C8" s="144"/>
      <c r="D8" s="144"/>
      <c r="E8" s="144"/>
      <c r="F8" s="144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5" t="s">
        <v>37</v>
      </c>
      <c r="B11" s="147" t="s">
        <v>36</v>
      </c>
      <c r="C11" s="147"/>
      <c r="D11" s="147"/>
      <c r="E11" s="148" t="s">
        <v>35</v>
      </c>
      <c r="F11" s="148" t="s">
        <v>34</v>
      </c>
    </row>
    <row r="12" spans="1:16" ht="15" customHeight="1" x14ac:dyDescent="0.35">
      <c r="A12" s="146"/>
      <c r="B12" s="83" t="s">
        <v>33</v>
      </c>
      <c r="C12" s="83" t="s">
        <v>32</v>
      </c>
      <c r="D12" s="83" t="s">
        <v>31</v>
      </c>
      <c r="E12" s="146"/>
      <c r="F12" s="146"/>
    </row>
    <row r="13" spans="1:16" ht="18" customHeight="1" x14ac:dyDescent="0.35">
      <c r="A13" s="82" t="s">
        <v>30</v>
      </c>
      <c r="B13" s="81">
        <f t="shared" ref="B13:B44" si="0">C13+D13</f>
        <v>368514</v>
      </c>
      <c r="C13" s="81">
        <f>C16+C62+C68</f>
        <v>185169</v>
      </c>
      <c r="D13" s="81">
        <f>D16+D62+D68</f>
        <v>183345</v>
      </c>
      <c r="E13" s="81">
        <f>E16+E62+E68</f>
        <v>22916</v>
      </c>
      <c r="F13" s="81">
        <f>F16+F62+F68</f>
        <v>2344</v>
      </c>
    </row>
    <row r="14" spans="1:16" ht="18" customHeight="1" x14ac:dyDescent="0.35">
      <c r="A14" s="42" t="s">
        <v>3</v>
      </c>
      <c r="B14" s="41">
        <f t="shared" si="0"/>
        <v>334332</v>
      </c>
      <c r="C14" s="41">
        <f t="shared" ref="C14:F15" si="1">C17+C66+C71</f>
        <v>167250</v>
      </c>
      <c r="D14" s="41">
        <f t="shared" si="1"/>
        <v>167082</v>
      </c>
      <c r="E14" s="41">
        <f t="shared" si="1"/>
        <v>19311</v>
      </c>
      <c r="F14" s="41">
        <f t="shared" si="1"/>
        <v>1858</v>
      </c>
    </row>
    <row r="15" spans="1:16" ht="18" customHeight="1" x14ac:dyDescent="0.35">
      <c r="A15" s="40" t="s">
        <v>2</v>
      </c>
      <c r="B15" s="39">
        <f t="shared" si="0"/>
        <v>34182</v>
      </c>
      <c r="C15" s="39">
        <f t="shared" si="1"/>
        <v>17919</v>
      </c>
      <c r="D15" s="39">
        <f t="shared" si="1"/>
        <v>16263</v>
      </c>
      <c r="E15" s="39">
        <f t="shared" si="1"/>
        <v>3605</v>
      </c>
      <c r="F15" s="39">
        <f t="shared" si="1"/>
        <v>486</v>
      </c>
    </row>
    <row r="16" spans="1:16" ht="18" customHeight="1" x14ac:dyDescent="0.35">
      <c r="A16" s="45" t="s">
        <v>29</v>
      </c>
      <c r="B16" s="44">
        <f t="shared" si="0"/>
        <v>365653</v>
      </c>
      <c r="C16" s="44">
        <f>C17+C18</f>
        <v>183864</v>
      </c>
      <c r="D16" s="44">
        <f>D17+D18</f>
        <v>181789</v>
      </c>
      <c r="E16" s="44">
        <f>E17+E18</f>
        <v>22634</v>
      </c>
      <c r="F16" s="43">
        <f>F17+F18</f>
        <v>2323</v>
      </c>
    </row>
    <row r="17" spans="1:6" ht="18" customHeight="1" x14ac:dyDescent="0.35">
      <c r="A17" s="42" t="s">
        <v>3</v>
      </c>
      <c r="B17" s="41">
        <f t="shared" si="0"/>
        <v>332538</v>
      </c>
      <c r="C17" s="41">
        <f t="shared" ref="C17:F18" si="2">C20+C50+C57</f>
        <v>166530</v>
      </c>
      <c r="D17" s="41">
        <f t="shared" si="2"/>
        <v>166008</v>
      </c>
      <c r="E17" s="41">
        <f t="shared" si="2"/>
        <v>19245</v>
      </c>
      <c r="F17" s="41">
        <f t="shared" si="2"/>
        <v>1848</v>
      </c>
    </row>
    <row r="18" spans="1:6" ht="18" customHeight="1" x14ac:dyDescent="0.35">
      <c r="A18" s="40" t="s">
        <v>2</v>
      </c>
      <c r="B18" s="39">
        <f t="shared" si="0"/>
        <v>33115</v>
      </c>
      <c r="C18" s="39">
        <f t="shared" si="2"/>
        <v>17334</v>
      </c>
      <c r="D18" s="39">
        <f t="shared" si="2"/>
        <v>15781</v>
      </c>
      <c r="E18" s="39">
        <f t="shared" si="2"/>
        <v>3389</v>
      </c>
      <c r="F18" s="39">
        <f t="shared" si="2"/>
        <v>475</v>
      </c>
    </row>
    <row r="19" spans="1:6" ht="18" customHeight="1" x14ac:dyDescent="0.35">
      <c r="A19" s="80" t="s">
        <v>28</v>
      </c>
      <c r="B19" s="79">
        <f t="shared" si="0"/>
        <v>272308</v>
      </c>
      <c r="C19" s="79">
        <f>C20+C21</f>
        <v>134713</v>
      </c>
      <c r="D19" s="79">
        <f>D20+D21</f>
        <v>137595</v>
      </c>
      <c r="E19" s="79">
        <f>E20+E21</f>
        <v>13676</v>
      </c>
      <c r="F19" s="78">
        <f>F20+F21</f>
        <v>2055</v>
      </c>
    </row>
    <row r="20" spans="1:6" ht="18" customHeight="1" x14ac:dyDescent="0.35">
      <c r="A20" s="42" t="s">
        <v>3</v>
      </c>
      <c r="B20" s="41">
        <f t="shared" si="0"/>
        <v>248570</v>
      </c>
      <c r="C20" s="41">
        <f t="shared" ref="C20:F21" si="3">C25+C31+C37+C43</f>
        <v>122861</v>
      </c>
      <c r="D20" s="41">
        <f t="shared" si="3"/>
        <v>125709</v>
      </c>
      <c r="E20" s="41">
        <f t="shared" si="3"/>
        <v>11758</v>
      </c>
      <c r="F20" s="77">
        <f t="shared" si="3"/>
        <v>1680</v>
      </c>
    </row>
    <row r="21" spans="1:6" ht="18" customHeight="1" x14ac:dyDescent="0.35">
      <c r="A21" s="76" t="s">
        <v>2</v>
      </c>
      <c r="B21" s="75">
        <f t="shared" si="0"/>
        <v>23738</v>
      </c>
      <c r="C21" s="75">
        <f t="shared" si="3"/>
        <v>11852</v>
      </c>
      <c r="D21" s="75">
        <f t="shared" si="3"/>
        <v>11886</v>
      </c>
      <c r="E21" s="75">
        <f t="shared" si="3"/>
        <v>1918</v>
      </c>
      <c r="F21" s="74">
        <f t="shared" si="3"/>
        <v>375</v>
      </c>
    </row>
    <row r="22" spans="1:6" ht="18" customHeight="1" x14ac:dyDescent="0.35">
      <c r="A22" s="69" t="s">
        <v>27</v>
      </c>
      <c r="B22" s="68">
        <f t="shared" si="0"/>
        <v>1363</v>
      </c>
      <c r="C22" s="68">
        <f>C23+C24</f>
        <v>685</v>
      </c>
      <c r="D22" s="68">
        <f>D23+D24</f>
        <v>678</v>
      </c>
      <c r="E22" s="68">
        <f>E23+E24</f>
        <v>55</v>
      </c>
      <c r="F22" s="67">
        <f>F23+F24</f>
        <v>51</v>
      </c>
    </row>
    <row r="23" spans="1:6" ht="18" customHeight="1" x14ac:dyDescent="0.35">
      <c r="A23" s="72" t="s">
        <v>23</v>
      </c>
      <c r="B23" s="49">
        <f t="shared" si="0"/>
        <v>743</v>
      </c>
      <c r="C23" s="49">
        <v>374</v>
      </c>
      <c r="D23" s="49">
        <v>369</v>
      </c>
      <c r="E23" s="49">
        <v>18</v>
      </c>
      <c r="F23" s="9">
        <v>29</v>
      </c>
    </row>
    <row r="24" spans="1:6" ht="18" customHeight="1" x14ac:dyDescent="0.35">
      <c r="A24" s="73" t="s">
        <v>22</v>
      </c>
      <c r="B24" s="50">
        <f t="shared" si="0"/>
        <v>620</v>
      </c>
      <c r="C24" s="50">
        <v>311</v>
      </c>
      <c r="D24" s="50">
        <v>309</v>
      </c>
      <c r="E24" s="50">
        <v>37</v>
      </c>
      <c r="F24" s="46">
        <v>22</v>
      </c>
    </row>
    <row r="25" spans="1:6" ht="18" customHeight="1" x14ac:dyDescent="0.35">
      <c r="A25" s="36" t="s">
        <v>3</v>
      </c>
      <c r="B25" s="11">
        <f t="shared" si="0"/>
        <v>1033</v>
      </c>
      <c r="C25" s="11">
        <v>522</v>
      </c>
      <c r="D25" s="11">
        <v>511</v>
      </c>
      <c r="E25" s="11">
        <v>53</v>
      </c>
      <c r="F25" s="9">
        <v>42</v>
      </c>
    </row>
    <row r="26" spans="1:6" ht="18" customHeight="1" x14ac:dyDescent="0.35">
      <c r="A26" s="58" t="s">
        <v>2</v>
      </c>
      <c r="B26" s="57">
        <f t="shared" si="0"/>
        <v>330</v>
      </c>
      <c r="C26" s="57">
        <v>163</v>
      </c>
      <c r="D26" s="57">
        <v>167</v>
      </c>
      <c r="E26" s="57">
        <v>2</v>
      </c>
      <c r="F26" s="56">
        <v>9</v>
      </c>
    </row>
    <row r="27" spans="1:6" ht="18" customHeight="1" x14ac:dyDescent="0.35">
      <c r="A27" s="69" t="s">
        <v>26</v>
      </c>
      <c r="B27" s="68">
        <f t="shared" si="0"/>
        <v>48413</v>
      </c>
      <c r="C27" s="68">
        <f>C28+C29+C30</f>
        <v>24061</v>
      </c>
      <c r="D27" s="68">
        <f>D28+D29+D30</f>
        <v>24352</v>
      </c>
      <c r="E27" s="68">
        <f>E28+E29+E30</f>
        <v>2407</v>
      </c>
      <c r="F27" s="67">
        <f>F28+F29+F30</f>
        <v>824</v>
      </c>
    </row>
    <row r="28" spans="1:6" ht="18" customHeight="1" x14ac:dyDescent="0.35">
      <c r="A28" s="72" t="s">
        <v>25</v>
      </c>
      <c r="B28" s="49">
        <f t="shared" si="0"/>
        <v>44333</v>
      </c>
      <c r="C28" s="49">
        <v>22060</v>
      </c>
      <c r="D28" s="49">
        <v>22273</v>
      </c>
      <c r="E28" s="49">
        <v>2059</v>
      </c>
      <c r="F28" s="9">
        <v>611</v>
      </c>
    </row>
    <row r="29" spans="1:6" ht="18" customHeight="1" x14ac:dyDescent="0.35">
      <c r="A29" s="73" t="s">
        <v>22</v>
      </c>
      <c r="B29" s="50">
        <f t="shared" si="0"/>
        <v>1517</v>
      </c>
      <c r="C29" s="50">
        <v>763</v>
      </c>
      <c r="D29" s="50">
        <v>754</v>
      </c>
      <c r="E29" s="50">
        <v>63</v>
      </c>
      <c r="F29" s="46">
        <v>20</v>
      </c>
    </row>
    <row r="30" spans="1:6" ht="18" customHeight="1" x14ac:dyDescent="0.35">
      <c r="A30" s="72" t="s">
        <v>21</v>
      </c>
      <c r="B30" s="49">
        <f t="shared" si="0"/>
        <v>2563</v>
      </c>
      <c r="C30" s="49">
        <v>1238</v>
      </c>
      <c r="D30" s="49">
        <v>1325</v>
      </c>
      <c r="E30" s="49">
        <v>285</v>
      </c>
      <c r="F30" s="9">
        <v>193</v>
      </c>
    </row>
    <row r="31" spans="1:6" ht="18" customHeight="1" x14ac:dyDescent="0.35">
      <c r="A31" s="71" t="s">
        <v>3</v>
      </c>
      <c r="B31" s="66">
        <f t="shared" si="0"/>
        <v>43130</v>
      </c>
      <c r="C31" s="66">
        <v>21415</v>
      </c>
      <c r="D31" s="66">
        <v>21715</v>
      </c>
      <c r="E31" s="66">
        <v>1979</v>
      </c>
      <c r="F31" s="70">
        <v>659</v>
      </c>
    </row>
    <row r="32" spans="1:6" ht="18" customHeight="1" x14ac:dyDescent="0.35">
      <c r="A32" s="31" t="s">
        <v>2</v>
      </c>
      <c r="B32" s="30">
        <f t="shared" si="0"/>
        <v>5283</v>
      </c>
      <c r="C32" s="30">
        <v>2646</v>
      </c>
      <c r="D32" s="30">
        <v>2637</v>
      </c>
      <c r="E32" s="30">
        <v>428</v>
      </c>
      <c r="F32" s="27">
        <v>165</v>
      </c>
    </row>
    <row r="33" spans="1:6" ht="18" customHeight="1" x14ac:dyDescent="0.35">
      <c r="A33" s="69" t="s">
        <v>24</v>
      </c>
      <c r="B33" s="68">
        <f t="shared" si="0"/>
        <v>149011</v>
      </c>
      <c r="C33" s="68">
        <f>C34+C35+C36</f>
        <v>73445</v>
      </c>
      <c r="D33" s="68">
        <f>D34+D35+D36</f>
        <v>75566</v>
      </c>
      <c r="E33" s="68">
        <f>E34+E35+E36</f>
        <v>6061</v>
      </c>
      <c r="F33" s="67">
        <f>F34+F35+F36</f>
        <v>787</v>
      </c>
    </row>
    <row r="34" spans="1:6" ht="18" customHeight="1" x14ac:dyDescent="0.35">
      <c r="A34" s="72" t="s">
        <v>23</v>
      </c>
      <c r="B34" s="49">
        <f t="shared" si="0"/>
        <v>145109</v>
      </c>
      <c r="C34" s="49">
        <v>71487</v>
      </c>
      <c r="D34" s="49">
        <v>73622</v>
      </c>
      <c r="E34" s="49">
        <v>5852</v>
      </c>
      <c r="F34" s="9">
        <v>702</v>
      </c>
    </row>
    <row r="35" spans="1:6" ht="18" customHeight="1" x14ac:dyDescent="0.35">
      <c r="A35" s="73" t="s">
        <v>22</v>
      </c>
      <c r="B35" s="50">
        <f t="shared" si="0"/>
        <v>2986</v>
      </c>
      <c r="C35" s="50">
        <v>1505</v>
      </c>
      <c r="D35" s="50">
        <v>1481</v>
      </c>
      <c r="E35" s="50">
        <v>119</v>
      </c>
      <c r="F35" s="46">
        <v>14</v>
      </c>
    </row>
    <row r="36" spans="1:6" ht="18" customHeight="1" x14ac:dyDescent="0.35">
      <c r="A36" s="72" t="s">
        <v>21</v>
      </c>
      <c r="B36" s="49">
        <f t="shared" si="0"/>
        <v>916</v>
      </c>
      <c r="C36" s="49">
        <v>453</v>
      </c>
      <c r="D36" s="49">
        <v>463</v>
      </c>
      <c r="E36" s="49">
        <v>90</v>
      </c>
      <c r="F36" s="9">
        <v>71</v>
      </c>
    </row>
    <row r="37" spans="1:6" ht="18" customHeight="1" x14ac:dyDescent="0.35">
      <c r="A37" s="71" t="s">
        <v>3</v>
      </c>
      <c r="B37" s="66">
        <f t="shared" si="0"/>
        <v>135873</v>
      </c>
      <c r="C37" s="66">
        <v>66928</v>
      </c>
      <c r="D37" s="66">
        <v>68945</v>
      </c>
      <c r="E37" s="66">
        <v>5309</v>
      </c>
      <c r="F37" s="70">
        <v>655</v>
      </c>
    </row>
    <row r="38" spans="1:6" ht="18" customHeight="1" x14ac:dyDescent="0.35">
      <c r="A38" s="31" t="s">
        <v>2</v>
      </c>
      <c r="B38" s="30">
        <f t="shared" si="0"/>
        <v>13138</v>
      </c>
      <c r="C38" s="30">
        <v>6517</v>
      </c>
      <c r="D38" s="30">
        <v>6621</v>
      </c>
      <c r="E38" s="30">
        <v>752</v>
      </c>
      <c r="F38" s="27">
        <v>132</v>
      </c>
    </row>
    <row r="39" spans="1:6" ht="18" customHeight="1" x14ac:dyDescent="0.35">
      <c r="A39" s="69" t="s">
        <v>20</v>
      </c>
      <c r="B39" s="68">
        <f t="shared" si="0"/>
        <v>73521</v>
      </c>
      <c r="C39" s="68">
        <f>C40+C41+C42</f>
        <v>36522</v>
      </c>
      <c r="D39" s="68">
        <f>D40+D41+D42</f>
        <v>36999</v>
      </c>
      <c r="E39" s="68">
        <f>E40+E41+E42</f>
        <v>5153</v>
      </c>
      <c r="F39" s="67">
        <f>F40+F41+F42</f>
        <v>393</v>
      </c>
    </row>
    <row r="40" spans="1:6" ht="18" customHeight="1" x14ac:dyDescent="0.35">
      <c r="A40" s="61" t="s">
        <v>19</v>
      </c>
      <c r="B40" s="11">
        <f t="shared" si="0"/>
        <v>30430</v>
      </c>
      <c r="C40" s="49">
        <v>15410</v>
      </c>
      <c r="D40" s="49">
        <v>15020</v>
      </c>
      <c r="E40" s="11">
        <v>2498</v>
      </c>
      <c r="F40" s="9">
        <v>170</v>
      </c>
    </row>
    <row r="41" spans="1:6" ht="18" customHeight="1" x14ac:dyDescent="0.35">
      <c r="A41" s="62" t="s">
        <v>18</v>
      </c>
      <c r="B41" s="50">
        <f t="shared" si="0"/>
        <v>17510</v>
      </c>
      <c r="C41" s="50">
        <v>8335</v>
      </c>
      <c r="D41" s="50">
        <v>9175</v>
      </c>
      <c r="E41" s="50">
        <v>865</v>
      </c>
      <c r="F41" s="46">
        <v>147</v>
      </c>
    </row>
    <row r="42" spans="1:6" ht="18" customHeight="1" x14ac:dyDescent="0.35">
      <c r="A42" s="61" t="s">
        <v>17</v>
      </c>
      <c r="B42" s="49">
        <f t="shared" si="0"/>
        <v>25581</v>
      </c>
      <c r="C42" s="49">
        <v>12777</v>
      </c>
      <c r="D42" s="49">
        <v>12804</v>
      </c>
      <c r="E42" s="49">
        <v>1790</v>
      </c>
      <c r="F42" s="9">
        <v>76</v>
      </c>
    </row>
    <row r="43" spans="1:6" ht="18" customHeight="1" x14ac:dyDescent="0.35">
      <c r="A43" s="62" t="s">
        <v>3</v>
      </c>
      <c r="B43" s="66">
        <f t="shared" si="0"/>
        <v>68534</v>
      </c>
      <c r="C43" s="47">
        <v>33996</v>
      </c>
      <c r="D43" s="47">
        <v>34538</v>
      </c>
      <c r="E43" s="47">
        <v>4417</v>
      </c>
      <c r="F43" s="46">
        <v>324</v>
      </c>
    </row>
    <row r="44" spans="1:6" ht="18" customHeight="1" x14ac:dyDescent="0.35">
      <c r="A44" s="31" t="s">
        <v>2</v>
      </c>
      <c r="B44" s="30">
        <f t="shared" si="0"/>
        <v>4987</v>
      </c>
      <c r="C44" s="30">
        <v>2526</v>
      </c>
      <c r="D44" s="30">
        <v>2461</v>
      </c>
      <c r="E44" s="30">
        <v>736</v>
      </c>
      <c r="F44" s="27">
        <v>69</v>
      </c>
    </row>
    <row r="45" spans="1:6" ht="18" customHeight="1" x14ac:dyDescent="0.35">
      <c r="A45" s="65" t="s">
        <v>16</v>
      </c>
      <c r="B45" s="64">
        <f t="shared" ref="B45:B72" si="4">C45+D45</f>
        <v>56366</v>
      </c>
      <c r="C45" s="64">
        <f>C46+C47+C48+C49</f>
        <v>28761</v>
      </c>
      <c r="D45" s="64">
        <f>D46+D47+D48+D49</f>
        <v>27605</v>
      </c>
      <c r="E45" s="64">
        <f>E46+E47+E48+E49</f>
        <v>5282</v>
      </c>
      <c r="F45" s="63">
        <f>F46+F47+F48+F49</f>
        <v>205</v>
      </c>
    </row>
    <row r="46" spans="1:6" ht="18" customHeight="1" x14ac:dyDescent="0.35">
      <c r="A46" s="61" t="s">
        <v>9</v>
      </c>
      <c r="B46" s="59">
        <f t="shared" si="4"/>
        <v>23087</v>
      </c>
      <c r="C46" s="49">
        <v>12486</v>
      </c>
      <c r="D46" s="49">
        <v>10601</v>
      </c>
      <c r="E46" s="49">
        <v>2112</v>
      </c>
      <c r="F46" s="9">
        <v>132</v>
      </c>
    </row>
    <row r="47" spans="1:6" ht="18" customHeight="1" x14ac:dyDescent="0.35">
      <c r="A47" s="62" t="s">
        <v>8</v>
      </c>
      <c r="B47" s="47">
        <f t="shared" si="4"/>
        <v>29753</v>
      </c>
      <c r="C47" s="50">
        <v>14777</v>
      </c>
      <c r="D47" s="50">
        <v>14976</v>
      </c>
      <c r="E47" s="50">
        <v>2542</v>
      </c>
      <c r="F47" s="46">
        <v>59</v>
      </c>
    </row>
    <row r="48" spans="1:6" ht="18" customHeight="1" x14ac:dyDescent="0.35">
      <c r="A48" s="61" t="s">
        <v>15</v>
      </c>
      <c r="B48" s="11">
        <f t="shared" si="4"/>
        <v>3146</v>
      </c>
      <c r="C48" s="11">
        <v>1257</v>
      </c>
      <c r="D48" s="11">
        <v>1889</v>
      </c>
      <c r="E48" s="11">
        <v>536</v>
      </c>
      <c r="F48" s="9">
        <v>6</v>
      </c>
    </row>
    <row r="49" spans="1:6" ht="18" customHeight="1" x14ac:dyDescent="0.35">
      <c r="A49" s="48" t="s">
        <v>7</v>
      </c>
      <c r="B49" s="47">
        <f t="shared" si="4"/>
        <v>380</v>
      </c>
      <c r="C49" s="50">
        <v>241</v>
      </c>
      <c r="D49" s="60">
        <v>139</v>
      </c>
      <c r="E49" s="47">
        <v>92</v>
      </c>
      <c r="F49" s="46">
        <v>8</v>
      </c>
    </row>
    <row r="50" spans="1:6" ht="18" customHeight="1" x14ac:dyDescent="0.35">
      <c r="A50" s="36" t="s">
        <v>3</v>
      </c>
      <c r="B50" s="59">
        <f t="shared" si="4"/>
        <v>51113</v>
      </c>
      <c r="C50" s="59">
        <v>26016</v>
      </c>
      <c r="D50" s="59">
        <v>25097</v>
      </c>
      <c r="E50" s="59">
        <v>4423</v>
      </c>
      <c r="F50" s="9">
        <v>137</v>
      </c>
    </row>
    <row r="51" spans="1:6" ht="18" customHeight="1" x14ac:dyDescent="0.35">
      <c r="A51" s="58" t="s">
        <v>2</v>
      </c>
      <c r="B51" s="57">
        <f t="shared" si="4"/>
        <v>5253</v>
      </c>
      <c r="C51" s="57">
        <v>2745</v>
      </c>
      <c r="D51" s="57">
        <v>2508</v>
      </c>
      <c r="E51" s="57">
        <v>859</v>
      </c>
      <c r="F51" s="56">
        <v>68</v>
      </c>
    </row>
    <row r="52" spans="1:6" ht="18" customHeight="1" x14ac:dyDescent="0.35">
      <c r="A52" s="55" t="s">
        <v>14</v>
      </c>
      <c r="B52" s="54">
        <f t="shared" si="4"/>
        <v>36979</v>
      </c>
      <c r="C52" s="54">
        <f>C54+C55+C56</f>
        <v>20390</v>
      </c>
      <c r="D52" s="54">
        <f>D54+D55+D56</f>
        <v>16589</v>
      </c>
      <c r="E52" s="54">
        <f>E54+E55+E56</f>
        <v>3676</v>
      </c>
      <c r="F52" s="53">
        <f>F57+F58</f>
        <v>63</v>
      </c>
    </row>
    <row r="53" spans="1:6" ht="18" customHeight="1" x14ac:dyDescent="0.35">
      <c r="A53" s="48" t="s">
        <v>5</v>
      </c>
      <c r="B53" s="47">
        <f t="shared" si="4"/>
        <v>35891</v>
      </c>
      <c r="C53" s="50">
        <f>C54+C55</f>
        <v>19810</v>
      </c>
      <c r="D53" s="47">
        <f>D54+D55</f>
        <v>16081</v>
      </c>
      <c r="E53" s="47">
        <f>E54+E55</f>
        <v>3216</v>
      </c>
      <c r="F53" s="46">
        <f>F54+F55</f>
        <v>54</v>
      </c>
    </row>
    <row r="54" spans="1:6" ht="18" customHeight="1" x14ac:dyDescent="0.35">
      <c r="A54" s="52" t="s">
        <v>13</v>
      </c>
      <c r="B54" s="11">
        <f t="shared" si="4"/>
        <v>1121</v>
      </c>
      <c r="C54" s="49">
        <v>924</v>
      </c>
      <c r="D54" s="11">
        <v>197</v>
      </c>
      <c r="E54" s="11">
        <v>137</v>
      </c>
      <c r="F54" s="9">
        <v>5</v>
      </c>
    </row>
    <row r="55" spans="1:6" ht="18" customHeight="1" x14ac:dyDescent="0.35">
      <c r="A55" s="51" t="s">
        <v>12</v>
      </c>
      <c r="B55" s="47">
        <f t="shared" si="4"/>
        <v>34770</v>
      </c>
      <c r="C55" s="50">
        <v>18886</v>
      </c>
      <c r="D55" s="47">
        <v>15884</v>
      </c>
      <c r="E55" s="47">
        <v>3079</v>
      </c>
      <c r="F55" s="46">
        <v>49</v>
      </c>
    </row>
    <row r="56" spans="1:6" ht="18" customHeight="1" x14ac:dyDescent="0.35">
      <c r="A56" s="36" t="s">
        <v>4</v>
      </c>
      <c r="B56" s="11">
        <f t="shared" si="4"/>
        <v>1088</v>
      </c>
      <c r="C56" s="49">
        <v>580</v>
      </c>
      <c r="D56" s="11">
        <v>508</v>
      </c>
      <c r="E56" s="11">
        <v>460</v>
      </c>
      <c r="F56" s="9">
        <v>28</v>
      </c>
    </row>
    <row r="57" spans="1:6" ht="18" customHeight="1" x14ac:dyDescent="0.35">
      <c r="A57" s="48" t="s">
        <v>3</v>
      </c>
      <c r="B57" s="47">
        <f t="shared" si="4"/>
        <v>32855</v>
      </c>
      <c r="C57" s="47">
        <v>17653</v>
      </c>
      <c r="D57" s="47">
        <v>15202</v>
      </c>
      <c r="E57" s="47">
        <v>3064</v>
      </c>
      <c r="F57" s="46">
        <v>31</v>
      </c>
    </row>
    <row r="58" spans="1:6" ht="18" customHeight="1" x14ac:dyDescent="0.35">
      <c r="A58" s="31" t="s">
        <v>2</v>
      </c>
      <c r="B58" s="29">
        <f t="shared" si="4"/>
        <v>4124</v>
      </c>
      <c r="C58" s="30">
        <v>2737</v>
      </c>
      <c r="D58" s="30">
        <v>1387</v>
      </c>
      <c r="E58" s="30">
        <v>612</v>
      </c>
      <c r="F58" s="27">
        <v>32</v>
      </c>
    </row>
    <row r="59" spans="1:6" ht="18" customHeight="1" x14ac:dyDescent="0.35">
      <c r="A59" s="45" t="s">
        <v>11</v>
      </c>
      <c r="B59" s="44">
        <f t="shared" si="4"/>
        <v>2861</v>
      </c>
      <c r="C59" s="44">
        <f>C60+C61</f>
        <v>1305</v>
      </c>
      <c r="D59" s="44">
        <f>D60+D61</f>
        <v>1556</v>
      </c>
      <c r="E59" s="44">
        <f>E60+E61</f>
        <v>282</v>
      </c>
      <c r="F59" s="43">
        <f>F60+F61</f>
        <v>21</v>
      </c>
    </row>
    <row r="60" spans="1:6" ht="18" customHeight="1" x14ac:dyDescent="0.35">
      <c r="A60" s="42" t="s">
        <v>3</v>
      </c>
      <c r="B60" s="41">
        <f t="shared" si="4"/>
        <v>1794</v>
      </c>
      <c r="C60" s="41">
        <f t="shared" ref="C60:F61" si="5">C66+C71</f>
        <v>720</v>
      </c>
      <c r="D60" s="41">
        <f t="shared" si="5"/>
        <v>1074</v>
      </c>
      <c r="E60" s="41">
        <f t="shared" si="5"/>
        <v>66</v>
      </c>
      <c r="F60" s="41">
        <f t="shared" si="5"/>
        <v>10</v>
      </c>
    </row>
    <row r="61" spans="1:6" ht="18" customHeight="1" x14ac:dyDescent="0.35">
      <c r="A61" s="40" t="s">
        <v>2</v>
      </c>
      <c r="B61" s="39">
        <f t="shared" si="4"/>
        <v>1067</v>
      </c>
      <c r="C61" s="39">
        <f t="shared" si="5"/>
        <v>585</v>
      </c>
      <c r="D61" s="39">
        <f t="shared" si="5"/>
        <v>482</v>
      </c>
      <c r="E61" s="39">
        <f t="shared" si="5"/>
        <v>216</v>
      </c>
      <c r="F61" s="39">
        <f t="shared" si="5"/>
        <v>11</v>
      </c>
    </row>
    <row r="62" spans="1:6" x14ac:dyDescent="0.35">
      <c r="A62" s="26" t="s">
        <v>10</v>
      </c>
      <c r="B62" s="25">
        <f t="shared" si="4"/>
        <v>1608</v>
      </c>
      <c r="C62" s="25">
        <f>C63+C64+C65</f>
        <v>587</v>
      </c>
      <c r="D62" s="25">
        <f>D63+D64+D65</f>
        <v>1021</v>
      </c>
      <c r="E62" s="25">
        <f>E63+E64+E65</f>
        <v>21</v>
      </c>
      <c r="F62" s="24">
        <f>F66+F67</f>
        <v>6</v>
      </c>
    </row>
    <row r="63" spans="1:6" x14ac:dyDescent="0.35">
      <c r="A63" s="38" t="s">
        <v>9</v>
      </c>
      <c r="B63" s="21">
        <f t="shared" si="4"/>
        <v>1608</v>
      </c>
      <c r="C63" s="22">
        <v>587</v>
      </c>
      <c r="D63" s="21">
        <v>1021</v>
      </c>
      <c r="E63" s="20">
        <v>21</v>
      </c>
      <c r="F63" s="19">
        <v>6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1600</v>
      </c>
      <c r="C66" s="15">
        <v>583</v>
      </c>
      <c r="D66" s="15">
        <v>1017</v>
      </c>
      <c r="E66" s="32">
        <v>11</v>
      </c>
      <c r="F66" s="13">
        <v>5</v>
      </c>
    </row>
    <row r="67" spans="1:15" x14ac:dyDescent="0.35">
      <c r="A67" s="31" t="s">
        <v>2</v>
      </c>
      <c r="B67" s="29">
        <f t="shared" si="4"/>
        <v>8</v>
      </c>
      <c r="C67" s="30">
        <v>4</v>
      </c>
      <c r="D67" s="29">
        <v>4</v>
      </c>
      <c r="E67" s="28">
        <v>10</v>
      </c>
      <c r="F67" s="27">
        <v>1</v>
      </c>
    </row>
    <row r="68" spans="1:15" x14ac:dyDescent="0.35">
      <c r="A68" s="26" t="s">
        <v>6</v>
      </c>
      <c r="B68" s="25">
        <f t="shared" si="4"/>
        <v>1253</v>
      </c>
      <c r="C68" s="25">
        <f>C69+C70</f>
        <v>718</v>
      </c>
      <c r="D68" s="25">
        <f>D69+D70</f>
        <v>535</v>
      </c>
      <c r="E68" s="25">
        <f>E71+E72</f>
        <v>261</v>
      </c>
      <c r="F68" s="24">
        <f>F71+F72</f>
        <v>15</v>
      </c>
    </row>
    <row r="69" spans="1:15" x14ac:dyDescent="0.35">
      <c r="A69" s="23" t="s">
        <v>5</v>
      </c>
      <c r="B69" s="21">
        <f t="shared" si="4"/>
        <v>841</v>
      </c>
      <c r="C69" s="22">
        <v>472</v>
      </c>
      <c r="D69" s="21">
        <v>369</v>
      </c>
      <c r="E69" s="20">
        <v>157</v>
      </c>
      <c r="F69" s="19">
        <v>12</v>
      </c>
      <c r="G69" s="18"/>
    </row>
    <row r="70" spans="1:15" x14ac:dyDescent="0.35">
      <c r="A70" s="17" t="s">
        <v>4</v>
      </c>
      <c r="B70" s="15">
        <f t="shared" si="4"/>
        <v>412</v>
      </c>
      <c r="C70" s="16">
        <v>246</v>
      </c>
      <c r="D70" s="15">
        <v>166</v>
      </c>
      <c r="E70" s="14">
        <v>104</v>
      </c>
      <c r="F70" s="13">
        <v>9</v>
      </c>
    </row>
    <row r="71" spans="1:15" x14ac:dyDescent="0.35">
      <c r="A71" s="12" t="s">
        <v>3</v>
      </c>
      <c r="B71" s="11">
        <f t="shared" si="4"/>
        <v>194</v>
      </c>
      <c r="C71" s="11">
        <v>137</v>
      </c>
      <c r="D71" s="11">
        <v>57</v>
      </c>
      <c r="E71" s="10">
        <v>55</v>
      </c>
      <c r="F71" s="9">
        <v>5</v>
      </c>
    </row>
    <row r="72" spans="1:15" x14ac:dyDescent="0.35">
      <c r="A72" s="8" t="s">
        <v>2</v>
      </c>
      <c r="B72" s="6">
        <f t="shared" si="4"/>
        <v>1059</v>
      </c>
      <c r="C72" s="7">
        <v>581</v>
      </c>
      <c r="D72" s="6">
        <v>478</v>
      </c>
      <c r="E72" s="5">
        <v>206</v>
      </c>
      <c r="F72" s="4">
        <v>10</v>
      </c>
    </row>
    <row r="73" spans="1:15" x14ac:dyDescent="0.35">
      <c r="F73" s="3" t="s">
        <v>1</v>
      </c>
    </row>
    <row r="74" spans="1:15" ht="41.1" customHeight="1" x14ac:dyDescent="0.35">
      <c r="A74" s="143" t="s">
        <v>0</v>
      </c>
      <c r="B74" s="143"/>
      <c r="C74" s="143"/>
      <c r="D74" s="143"/>
      <c r="E74" s="143"/>
      <c r="F74" s="143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E2E6-78F2-4124-B2CB-13987BB75641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7" t="s">
        <v>29</v>
      </c>
      <c r="B7" s="137"/>
      <c r="C7" s="137"/>
      <c r="D7" s="137"/>
      <c r="E7" s="137"/>
      <c r="F7" s="137"/>
      <c r="H7" s="2"/>
      <c r="I7" s="2"/>
    </row>
    <row r="8" spans="1:10" s="1" customFormat="1" ht="15.75" customHeight="1" x14ac:dyDescent="0.35">
      <c r="A8" s="137" t="s">
        <v>76</v>
      </c>
      <c r="B8" s="137"/>
      <c r="C8" s="137"/>
      <c r="D8" s="137"/>
      <c r="E8" s="137"/>
      <c r="F8" s="137"/>
      <c r="H8" s="2"/>
      <c r="I8" s="2"/>
    </row>
    <row r="9" spans="1:10" s="1" customFormat="1" ht="3" customHeight="1" x14ac:dyDescent="0.35">
      <c r="A9" s="142"/>
      <c r="B9" s="141"/>
      <c r="C9" s="140"/>
      <c r="D9" s="139"/>
      <c r="E9" s="140"/>
      <c r="F9" s="139"/>
      <c r="H9" s="136"/>
      <c r="I9" s="2"/>
    </row>
    <row r="10" spans="1:10" s="1" customFormat="1" ht="15.75" customHeight="1" x14ac:dyDescent="0.35">
      <c r="A10" s="138" t="s">
        <v>38</v>
      </c>
      <c r="B10" s="138"/>
      <c r="C10" s="137"/>
      <c r="D10" s="137"/>
      <c r="E10" s="137"/>
      <c r="F10" s="137"/>
      <c r="H10" s="136"/>
      <c r="I10" s="2"/>
    </row>
    <row r="11" spans="1:10" ht="18" customHeight="1" x14ac:dyDescent="0.35">
      <c r="A11" s="149" t="s">
        <v>75</v>
      </c>
      <c r="B11" s="135" t="s">
        <v>74</v>
      </c>
      <c r="C11" s="134" t="s">
        <v>73</v>
      </c>
      <c r="D11" s="133"/>
      <c r="E11" s="134" t="s">
        <v>72</v>
      </c>
      <c r="F11" s="133"/>
    </row>
    <row r="12" spans="1:10" ht="21.75" customHeight="1" x14ac:dyDescent="0.35">
      <c r="A12" s="150"/>
      <c r="B12" s="132" t="s">
        <v>71</v>
      </c>
      <c r="C12" s="131" t="s">
        <v>71</v>
      </c>
      <c r="D12" s="129" t="s">
        <v>70</v>
      </c>
      <c r="E12" s="130" t="s">
        <v>71</v>
      </c>
      <c r="F12" s="129" t="s">
        <v>70</v>
      </c>
    </row>
    <row r="13" spans="1:10" x14ac:dyDescent="0.35">
      <c r="A13" s="128" t="s">
        <v>28</v>
      </c>
      <c r="B13" s="127"/>
      <c r="C13" s="126"/>
      <c r="D13" s="126"/>
      <c r="E13" s="125"/>
      <c r="F13" s="124"/>
      <c r="H13" s="87"/>
    </row>
    <row r="14" spans="1:10" x14ac:dyDescent="0.35">
      <c r="A14" s="104" t="s">
        <v>69</v>
      </c>
      <c r="B14" s="103">
        <v>93.31157408819611</v>
      </c>
      <c r="C14" s="103">
        <v>92.028572010841884</v>
      </c>
      <c r="D14" s="102">
        <v>90.548895792070439</v>
      </c>
      <c r="E14" s="101">
        <v>92.799476994214928</v>
      </c>
      <c r="F14" s="100">
        <v>92.175076705359459</v>
      </c>
      <c r="H14" s="87"/>
      <c r="I14" s="87"/>
      <c r="J14" s="87"/>
    </row>
    <row r="15" spans="1:10" x14ac:dyDescent="0.35">
      <c r="A15" s="109" t="s">
        <v>68</v>
      </c>
      <c r="B15" s="108">
        <v>92.831989479642232</v>
      </c>
      <c r="C15" s="108">
        <v>91.628115510811298</v>
      </c>
      <c r="D15" s="107">
        <v>89.822984263753895</v>
      </c>
      <c r="E15" s="106">
        <v>92.39564570444044</v>
      </c>
      <c r="F15" s="105">
        <v>91.436409983971117</v>
      </c>
      <c r="H15" s="87"/>
      <c r="I15" s="87"/>
      <c r="J15" s="87"/>
    </row>
    <row r="16" spans="1:10" x14ac:dyDescent="0.35">
      <c r="A16" s="123" t="s">
        <v>26</v>
      </c>
      <c r="B16" s="122"/>
      <c r="C16" s="122"/>
      <c r="D16" s="122"/>
      <c r="E16" s="122"/>
      <c r="F16" s="121"/>
      <c r="H16" s="87"/>
      <c r="I16" s="87"/>
      <c r="J16" s="87"/>
    </row>
    <row r="17" spans="1:10" x14ac:dyDescent="0.35">
      <c r="A17" s="104" t="s">
        <v>67</v>
      </c>
      <c r="B17" s="103">
        <v>37.469736140178092</v>
      </c>
      <c r="C17" s="103">
        <v>40.298507462686565</v>
      </c>
      <c r="D17" s="102">
        <v>38.580942141638275</v>
      </c>
      <c r="E17" s="101">
        <v>44.34170519388563</v>
      </c>
      <c r="F17" s="100">
        <v>48.361513668823143</v>
      </c>
      <c r="H17" s="87"/>
      <c r="I17" s="87"/>
      <c r="J17" s="87"/>
    </row>
    <row r="18" spans="1:10" x14ac:dyDescent="0.35">
      <c r="A18" s="109" t="s">
        <v>66</v>
      </c>
      <c r="B18" s="108">
        <v>94.331102992487985</v>
      </c>
      <c r="C18" s="108">
        <v>92.37361105416376</v>
      </c>
      <c r="D18" s="107">
        <v>77.998743134706629</v>
      </c>
      <c r="E18" s="106">
        <v>99.454703185029132</v>
      </c>
      <c r="F18" s="105">
        <v>88.525570726115859</v>
      </c>
      <c r="H18" s="87"/>
      <c r="I18" s="87"/>
      <c r="J18" s="87"/>
    </row>
    <row r="19" spans="1:10" x14ac:dyDescent="0.35">
      <c r="A19" s="104" t="s">
        <v>65</v>
      </c>
      <c r="B19" s="103">
        <v>67.70434424541898</v>
      </c>
      <c r="C19" s="103">
        <v>64.859100045120798</v>
      </c>
      <c r="D19" s="102">
        <v>73.121669901048492</v>
      </c>
      <c r="E19" s="101">
        <v>68.267300364649486</v>
      </c>
      <c r="F19" s="100">
        <v>77.265666530891224</v>
      </c>
      <c r="H19" s="87"/>
      <c r="I19" s="87"/>
      <c r="J19" s="87"/>
    </row>
    <row r="20" spans="1:10" x14ac:dyDescent="0.35">
      <c r="A20" s="109" t="s">
        <v>64</v>
      </c>
      <c r="B20" s="108">
        <v>66.497295076354177</v>
      </c>
      <c r="C20" s="108">
        <v>65.914604893427452</v>
      </c>
      <c r="D20" s="107">
        <v>63.307350306076884</v>
      </c>
      <c r="E20" s="106">
        <v>70.753067210112491</v>
      </c>
      <c r="F20" s="105">
        <v>71.448553833817613</v>
      </c>
      <c r="H20" s="87"/>
      <c r="I20" s="87"/>
      <c r="J20" s="87"/>
    </row>
    <row r="21" spans="1:10" x14ac:dyDescent="0.35">
      <c r="A21" s="104" t="s">
        <v>63</v>
      </c>
      <c r="B21" s="103">
        <v>66.920495788536599</v>
      </c>
      <c r="C21" s="103">
        <v>66.360084983894183</v>
      </c>
      <c r="D21" s="102">
        <v>63.672054942229941</v>
      </c>
      <c r="E21" s="101">
        <v>71.230877270286271</v>
      </c>
      <c r="F21" s="100">
        <v>71.858408255034533</v>
      </c>
      <c r="H21" s="87"/>
      <c r="I21" s="87"/>
      <c r="J21" s="87"/>
    </row>
    <row r="22" spans="1:10" x14ac:dyDescent="0.35">
      <c r="A22" s="123" t="s">
        <v>24</v>
      </c>
      <c r="B22" s="122"/>
      <c r="C22" s="122"/>
      <c r="D22" s="122"/>
      <c r="E22" s="122"/>
      <c r="F22" s="121"/>
      <c r="H22" s="87"/>
      <c r="I22" s="87"/>
      <c r="J22" s="87"/>
    </row>
    <row r="23" spans="1:10" x14ac:dyDescent="0.35">
      <c r="A23" s="104" t="s">
        <v>50</v>
      </c>
      <c r="B23" s="103">
        <v>0.85567560797136233</v>
      </c>
      <c r="C23" s="103">
        <v>0.84691734167275934</v>
      </c>
      <c r="D23" s="102">
        <v>0.43876962396363073</v>
      </c>
      <c r="E23" s="103">
        <v>0.85289425322948587</v>
      </c>
      <c r="F23" s="100">
        <v>0.39712680772554521</v>
      </c>
      <c r="H23" s="87"/>
      <c r="I23" s="87"/>
      <c r="J23" s="87"/>
    </row>
    <row r="24" spans="1:10" x14ac:dyDescent="0.35">
      <c r="A24" s="109" t="s">
        <v>58</v>
      </c>
      <c r="B24" s="108">
        <v>0.48358007808628756</v>
      </c>
      <c r="C24" s="108">
        <v>0.49984062069761137</v>
      </c>
      <c r="D24" s="107">
        <v>0.47104009397397339</v>
      </c>
      <c r="E24" s="108">
        <v>0.51638624874985606</v>
      </c>
      <c r="F24" s="105">
        <v>0.45218297092196602</v>
      </c>
      <c r="H24" s="87"/>
      <c r="I24" s="87"/>
      <c r="J24" s="87"/>
    </row>
    <row r="25" spans="1:10" x14ac:dyDescent="0.35">
      <c r="A25" s="104" t="s">
        <v>57</v>
      </c>
      <c r="B25" s="103">
        <v>100.20491803278688</v>
      </c>
      <c r="C25" s="103">
        <v>98.979795959191847</v>
      </c>
      <c r="D25" s="102">
        <v>96.9551648474215</v>
      </c>
      <c r="E25" s="103">
        <v>98.734939759036138</v>
      </c>
      <c r="F25" s="100">
        <v>98.150026946338286</v>
      </c>
      <c r="H25" s="87"/>
      <c r="I25" s="87"/>
      <c r="J25" s="87"/>
    </row>
    <row r="26" spans="1:10" x14ac:dyDescent="0.35">
      <c r="A26" s="109" t="s">
        <v>56</v>
      </c>
      <c r="B26" s="108">
        <v>102.33419188667096</v>
      </c>
      <c r="C26" s="108">
        <v>99.858728557013123</v>
      </c>
      <c r="D26" s="107">
        <v>101.9341223948949</v>
      </c>
      <c r="E26" s="108">
        <v>99.558597230096382</v>
      </c>
      <c r="F26" s="105">
        <v>103.78941864704068</v>
      </c>
      <c r="H26" s="87"/>
      <c r="I26" s="87"/>
      <c r="J26" s="87"/>
    </row>
    <row r="27" spans="1:10" x14ac:dyDescent="0.35">
      <c r="A27" s="104" t="s">
        <v>62</v>
      </c>
      <c r="B27" s="103">
        <v>103.01521870522163</v>
      </c>
      <c r="C27" s="103">
        <v>101.4328890583094</v>
      </c>
      <c r="D27" s="102">
        <v>101.72046958709984</v>
      </c>
      <c r="E27" s="103">
        <v>101.24172806019178</v>
      </c>
      <c r="F27" s="100">
        <v>101.19578388660526</v>
      </c>
      <c r="H27" s="87"/>
      <c r="I27" s="87"/>
      <c r="J27" s="87"/>
    </row>
    <row r="28" spans="1:10" x14ac:dyDescent="0.35">
      <c r="A28" s="109" t="s">
        <v>61</v>
      </c>
      <c r="B28" s="108">
        <v>96.958296265610883</v>
      </c>
      <c r="C28" s="108">
        <v>95.748982342450276</v>
      </c>
      <c r="D28" s="107">
        <v>96.314695429046509</v>
      </c>
      <c r="E28" s="108">
        <v>95.568761883991797</v>
      </c>
      <c r="F28" s="105">
        <v>95.816612827648669</v>
      </c>
      <c r="H28" s="87"/>
      <c r="I28" s="87"/>
      <c r="J28" s="87"/>
    </row>
    <row r="29" spans="1:10" x14ac:dyDescent="0.35">
      <c r="A29" s="123" t="s">
        <v>20</v>
      </c>
      <c r="B29" s="122"/>
      <c r="C29" s="122"/>
      <c r="D29" s="122"/>
      <c r="E29" s="122"/>
      <c r="F29" s="121"/>
      <c r="H29" s="87"/>
      <c r="I29" s="87"/>
      <c r="J29" s="87"/>
    </row>
    <row r="30" spans="1:10" x14ac:dyDescent="0.35">
      <c r="A30" s="104" t="s">
        <v>51</v>
      </c>
      <c r="B30" s="103">
        <v>98.069709284151301</v>
      </c>
      <c r="C30" s="103">
        <v>97.506685543495365</v>
      </c>
      <c r="D30" s="102">
        <v>93.105822485612947</v>
      </c>
      <c r="E30" s="101">
        <v>97.999191592562653</v>
      </c>
      <c r="F30" s="100">
        <v>95.031628893548429</v>
      </c>
      <c r="H30" s="87"/>
      <c r="I30" s="87"/>
      <c r="J30" s="87"/>
    </row>
    <row r="31" spans="1:10" x14ac:dyDescent="0.35">
      <c r="A31" s="109" t="s">
        <v>50</v>
      </c>
      <c r="B31" s="108">
        <v>2.7729473768693613</v>
      </c>
      <c r="C31" s="108">
        <v>2.119122427605713</v>
      </c>
      <c r="D31" s="107">
        <v>2.54778221710249</v>
      </c>
      <c r="E31" s="106">
        <v>1.6455153133952405</v>
      </c>
      <c r="F31" s="105">
        <v>2.2918429271874818</v>
      </c>
      <c r="H31" s="87"/>
      <c r="I31" s="87"/>
      <c r="J31" s="87"/>
    </row>
    <row r="32" spans="1:10" x14ac:dyDescent="0.35">
      <c r="A32" s="104" t="s">
        <v>58</v>
      </c>
      <c r="B32" s="103">
        <v>2.2917876483854904</v>
      </c>
      <c r="C32" s="103">
        <v>2.288078698946383</v>
      </c>
      <c r="D32" s="102">
        <v>2.2384648038226818</v>
      </c>
      <c r="E32" s="101">
        <v>2.2839566312683579</v>
      </c>
      <c r="F32" s="100">
        <v>2.1403697727291782</v>
      </c>
      <c r="H32" s="87"/>
      <c r="I32" s="87"/>
      <c r="J32" s="87"/>
    </row>
    <row r="33" spans="1:10" x14ac:dyDescent="0.35">
      <c r="A33" s="109" t="s">
        <v>57</v>
      </c>
      <c r="B33" s="108">
        <v>93.692073051503655</v>
      </c>
      <c r="C33" s="108">
        <v>93.778386844166022</v>
      </c>
      <c r="D33" s="107">
        <v>92.865387576774694</v>
      </c>
      <c r="E33" s="106">
        <v>93.114989242170694</v>
      </c>
      <c r="F33" s="105">
        <v>92.527364626036132</v>
      </c>
      <c r="H33" s="87"/>
      <c r="I33" s="87"/>
      <c r="J33" s="87"/>
    </row>
    <row r="34" spans="1:10" x14ac:dyDescent="0.35">
      <c r="A34" s="104" t="s">
        <v>56</v>
      </c>
      <c r="B34" s="103">
        <v>95.606368969232619</v>
      </c>
      <c r="C34" s="103">
        <v>95.896060217809094</v>
      </c>
      <c r="D34" s="102">
        <v>91.876923795994145</v>
      </c>
      <c r="E34" s="101">
        <v>93.889357599132211</v>
      </c>
      <c r="F34" s="100">
        <v>89.804444151920364</v>
      </c>
      <c r="H34" s="87"/>
      <c r="I34" s="87"/>
      <c r="J34" s="87"/>
    </row>
    <row r="35" spans="1:10" x14ac:dyDescent="0.35">
      <c r="A35" s="109" t="s">
        <v>60</v>
      </c>
      <c r="B35" s="108">
        <v>99.971917249495178</v>
      </c>
      <c r="C35" s="108">
        <v>98.615749869220565</v>
      </c>
      <c r="D35" s="107">
        <v>94.670888333927934</v>
      </c>
      <c r="E35" s="106">
        <v>97.207162363956783</v>
      </c>
      <c r="F35" s="105">
        <v>94.056932269296951</v>
      </c>
      <c r="H35" s="87"/>
      <c r="I35" s="87"/>
      <c r="J35" s="87"/>
    </row>
    <row r="36" spans="1:10" x14ac:dyDescent="0.35">
      <c r="A36" s="104" t="s">
        <v>59</v>
      </c>
      <c r="B36" s="103">
        <v>87.433637786009442</v>
      </c>
      <c r="C36" s="103">
        <v>86.86974367228683</v>
      </c>
      <c r="D36" s="102">
        <v>83.855666307503625</v>
      </c>
      <c r="E36" s="101">
        <v>85.629531970995387</v>
      </c>
      <c r="F36" s="120">
        <v>83.305904438452842</v>
      </c>
      <c r="H36" s="87"/>
      <c r="I36" s="87"/>
      <c r="J36" s="87"/>
    </row>
    <row r="37" spans="1:10" x14ac:dyDescent="0.35">
      <c r="A37" s="119" t="s">
        <v>10</v>
      </c>
      <c r="B37" s="118"/>
      <c r="C37" s="118"/>
      <c r="D37" s="118"/>
      <c r="E37" s="118"/>
      <c r="F37" s="117"/>
      <c r="H37" s="87"/>
      <c r="I37" s="87"/>
      <c r="J37" s="87"/>
    </row>
    <row r="38" spans="1:10" x14ac:dyDescent="0.35">
      <c r="A38" s="104" t="s">
        <v>51</v>
      </c>
      <c r="B38" s="103">
        <v>86.933492802528718</v>
      </c>
      <c r="C38" s="103">
        <v>88.40470823941898</v>
      </c>
      <c r="D38" s="102">
        <v>90.303209142071765</v>
      </c>
      <c r="E38" s="101">
        <v>89.436766732077984</v>
      </c>
      <c r="F38" s="100">
        <v>91.299275514381847</v>
      </c>
      <c r="H38" s="87"/>
      <c r="I38" s="87"/>
      <c r="J38" s="87"/>
    </row>
    <row r="39" spans="1:10" x14ac:dyDescent="0.35">
      <c r="A39" s="109" t="s">
        <v>50</v>
      </c>
      <c r="B39" s="108">
        <v>10.652029041422606</v>
      </c>
      <c r="C39" s="108">
        <v>9.9332931199659349</v>
      </c>
      <c r="D39" s="107">
        <v>9.2482325469735116</v>
      </c>
      <c r="E39" s="106">
        <v>9.775481111903062</v>
      </c>
      <c r="F39" s="105">
        <v>9.2356339587371004</v>
      </c>
      <c r="H39" s="87"/>
      <c r="I39" s="87"/>
      <c r="J39" s="87"/>
    </row>
    <row r="40" spans="1:10" x14ac:dyDescent="0.35">
      <c r="A40" s="104" t="s">
        <v>58</v>
      </c>
      <c r="B40" s="103">
        <v>9.5502645502645542</v>
      </c>
      <c r="C40" s="103">
        <v>9.4624146652214414</v>
      </c>
      <c r="D40" s="102">
        <v>12.053771184956375</v>
      </c>
      <c r="E40" s="101">
        <v>9.3746422984470996</v>
      </c>
      <c r="F40" s="100">
        <v>11.972895108572123</v>
      </c>
      <c r="H40" s="87"/>
      <c r="I40" s="87"/>
      <c r="J40" s="87"/>
    </row>
    <row r="41" spans="1:10" x14ac:dyDescent="0.35">
      <c r="A41" s="109" t="s">
        <v>57</v>
      </c>
      <c r="B41" s="108">
        <v>71.064021641118131</v>
      </c>
      <c r="C41" s="108">
        <v>75.953675254077041</v>
      </c>
      <c r="D41" s="107">
        <v>70.240267556253883</v>
      </c>
      <c r="E41" s="106">
        <v>72.390919811320757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63.914683102874982</v>
      </c>
      <c r="C42" s="103">
        <v>64.92908231300764</v>
      </c>
      <c r="D42" s="102">
        <v>63.600436314437992</v>
      </c>
      <c r="E42" s="101">
        <v>59.356996092018854</v>
      </c>
      <c r="F42" s="100">
        <v>60.075548708762398</v>
      </c>
      <c r="H42" s="87"/>
      <c r="I42" s="87"/>
      <c r="J42" s="87"/>
    </row>
    <row r="43" spans="1:10" x14ac:dyDescent="0.35">
      <c r="A43" s="109" t="s">
        <v>55</v>
      </c>
      <c r="B43" s="108">
        <v>76.132874042030494</v>
      </c>
      <c r="C43" s="108">
        <v>75.275106837606842</v>
      </c>
      <c r="D43" s="107">
        <v>72.862042704061992</v>
      </c>
      <c r="E43" s="106">
        <v>75.115108684013279</v>
      </c>
      <c r="F43" s="105">
        <v>73.197457862217306</v>
      </c>
      <c r="H43" s="87"/>
      <c r="I43" s="87"/>
      <c r="J43" s="87"/>
    </row>
    <row r="44" spans="1:10" x14ac:dyDescent="0.35">
      <c r="A44" s="104" t="s">
        <v>54</v>
      </c>
      <c r="B44" s="103">
        <v>77.500066757456807</v>
      </c>
      <c r="C44" s="103">
        <v>77.422542735042725</v>
      </c>
      <c r="D44" s="102">
        <v>78.400458538136903</v>
      </c>
      <c r="E44" s="101">
        <v>77.25800406895813</v>
      </c>
      <c r="F44" s="100">
        <v>78.773452915283144</v>
      </c>
      <c r="H44" s="87"/>
      <c r="I44" s="116"/>
      <c r="J44" s="116"/>
    </row>
    <row r="45" spans="1:10" x14ac:dyDescent="0.35">
      <c r="A45" s="109" t="s">
        <v>53</v>
      </c>
      <c r="B45" s="108">
        <v>66.008438142540527</v>
      </c>
      <c r="C45" s="108">
        <v>66.044337606837615</v>
      </c>
      <c r="D45" s="107">
        <v>60.675903080458362</v>
      </c>
      <c r="E45" s="106">
        <v>63.565424563657778</v>
      </c>
      <c r="F45" s="105">
        <v>59.146954254527095</v>
      </c>
      <c r="H45" s="87"/>
      <c r="I45" s="87"/>
      <c r="J45" s="87"/>
    </row>
    <row r="46" spans="1:10" x14ac:dyDescent="0.35">
      <c r="A46" s="115" t="s">
        <v>52</v>
      </c>
      <c r="B46" s="114"/>
      <c r="C46" s="114"/>
      <c r="D46" s="114"/>
      <c r="E46" s="114"/>
      <c r="F46" s="113"/>
      <c r="H46" s="87"/>
      <c r="I46" s="87"/>
      <c r="J46" s="87"/>
    </row>
    <row r="47" spans="1:10" x14ac:dyDescent="0.35">
      <c r="A47" s="104" t="s">
        <v>51</v>
      </c>
      <c r="B47" s="103">
        <v>56.173694147262431</v>
      </c>
      <c r="C47" s="103">
        <v>59.538717096856629</v>
      </c>
      <c r="D47" s="102">
        <v>68.075095204300098</v>
      </c>
      <c r="E47" s="101">
        <v>59.62561823076441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9.7351871175160092</v>
      </c>
      <c r="C48" s="108">
        <v>9.6263687275361498</v>
      </c>
      <c r="D48" s="107">
        <v>8.5439504278360232</v>
      </c>
      <c r="E48" s="106">
        <v>9.491832035960968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25.079432760683879</v>
      </c>
      <c r="C49" s="103">
        <v>25.385808825548505</v>
      </c>
      <c r="D49" s="102">
        <v>30.621789759912865</v>
      </c>
      <c r="E49" s="101">
        <v>25.758758594242199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29.174757281553397</v>
      </c>
      <c r="C50" s="108">
        <v>29.462563311141942</v>
      </c>
      <c r="D50" s="107">
        <v>34.484611655840489</v>
      </c>
      <c r="E50" s="106">
        <v>29.864283024736832</v>
      </c>
      <c r="F50" s="105">
        <v>34.683476115270743</v>
      </c>
      <c r="H50" s="87"/>
      <c r="I50" s="87"/>
      <c r="J50" s="87"/>
    </row>
    <row r="51" spans="1:10" x14ac:dyDescent="0.35">
      <c r="A51" s="104" t="s">
        <v>47</v>
      </c>
      <c r="B51" s="103">
        <v>29.907026493335525</v>
      </c>
      <c r="C51" s="103">
        <v>30.152931808666956</v>
      </c>
      <c r="D51" s="102">
        <v>42.545891307303194</v>
      </c>
      <c r="E51" s="101">
        <v>30.561694743218244</v>
      </c>
      <c r="F51" s="100">
        <v>42.84947472301657</v>
      </c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13.611412308227454</v>
      </c>
      <c r="C53" s="108">
        <v>13.431879116423298</v>
      </c>
      <c r="D53" s="107">
        <v>13.596245811879109</v>
      </c>
      <c r="E53" s="106">
        <v>13.3463554412184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9.83</v>
      </c>
      <c r="C54" s="103">
        <v>9.9411776874213729</v>
      </c>
      <c r="D54" s="102">
        <v>9.8556313156987496</v>
      </c>
      <c r="E54" s="101">
        <v>10.052355374842746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3.2755801288915913</v>
      </c>
      <c r="C55" s="98">
        <v>3.1851657259067405</v>
      </c>
      <c r="D55" s="97">
        <v>4.4889089590471833</v>
      </c>
      <c r="E55" s="96">
        <v>3.0509871332423364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3.25" customHeight="1" x14ac:dyDescent="0.35">
      <c r="A57" s="151" t="s">
        <v>42</v>
      </c>
      <c r="B57" s="151"/>
      <c r="C57" s="151"/>
      <c r="D57" s="151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Tlax</vt:lpstr>
      <vt:lpstr>TLAX</vt:lpstr>
      <vt:lpstr>'Est Tlax'!Área_de_impresión</vt:lpstr>
      <vt:lpstr>TLAX!Área_de_impresión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2022-09-07T18:20:27Z</cp:lastPrinted>
  <dcterms:created xsi:type="dcterms:W3CDTF">2022-09-06T19:02:01Z</dcterms:created>
  <dcterms:modified xsi:type="dcterms:W3CDTF">2022-09-07T19:08:42Z</dcterms:modified>
</cp:coreProperties>
</file>