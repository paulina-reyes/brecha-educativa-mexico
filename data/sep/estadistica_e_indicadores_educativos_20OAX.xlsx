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6B89FCF6-807D-4DEF-8ABB-AC415A76AD33}" xr6:coauthVersionLast="47" xr6:coauthVersionMax="47" xr10:uidLastSave="{00000000-0000-0000-0000-000000000000}"/>
  <bookViews>
    <workbookView xWindow="-120" yWindow="-120" windowWidth="29040" windowHeight="15840" xr2:uid="{51F406FA-8DE6-4591-AE04-5BB9BE6C2165}"/>
  </bookViews>
  <sheets>
    <sheet name="Est Oax" sheetId="1" r:id="rId1"/>
    <sheet name="OAX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Oax'!$A$1:$F$74</definedName>
    <definedName name="_xlnm.Print_Area" localSheetId="1">OAX!$A$1:$F$57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C17" i="1"/>
  <c r="C16" i="1" s="1"/>
  <c r="E17" i="1"/>
  <c r="D19" i="1"/>
  <c r="E19" i="1"/>
  <c r="B20" i="1"/>
  <c r="C20" i="1"/>
  <c r="C19" i="1" s="1"/>
  <c r="B19" i="1" s="1"/>
  <c r="D20" i="1"/>
  <c r="D17" i="1" s="1"/>
  <c r="E20" i="1"/>
  <c r="F20" i="1"/>
  <c r="F19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C60" i="1"/>
  <c r="C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D16" i="1" l="1"/>
  <c r="D13" i="1" s="1"/>
  <c r="D14" i="1"/>
  <c r="B59" i="1"/>
  <c r="E16" i="1"/>
  <c r="E13" i="1" s="1"/>
  <c r="C13" i="1"/>
  <c r="C15" i="1"/>
  <c r="B15" i="1" s="1"/>
  <c r="B18" i="1"/>
  <c r="B17" i="1"/>
  <c r="B60" i="1"/>
  <c r="C14" i="1"/>
  <c r="B14" i="1" s="1"/>
  <c r="B21" i="1"/>
  <c r="F17" i="1"/>
  <c r="F14" i="1" l="1"/>
  <c r="F16" i="1"/>
  <c r="F13" i="1" s="1"/>
  <c r="B16" i="1"/>
  <c r="B13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<sst xmlns="http://schemas.openxmlformats.org/spreadsheetml/2006/main" count="133" uniqueCount="78">
  <si>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</si>
  <si>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</si>
  <si>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</si>
  <si>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</si>
  <si>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</si>
  <si>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</si>
  <si>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</si>
  <si>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</si>
  <si>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</si>
  <si>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</si>
  <si>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</si>
  <si>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</si>
  <si>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</si>
  <si>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</si>
  <si>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</si>
  <si>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</si>
  <si>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</si>
  <si>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</si>
  <si>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</si>
  <si>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</si>
  <si>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</si>
  <si>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</si>
  <si>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</si>
  <si>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</si>
  <si>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</si>
  <si>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</si>
  <si>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</si>
  <si>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</si>
  <si>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</si>
  <si>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</si>
  <si>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</si>
  <si>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</si>
  <si>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</si>
  <si>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</si>
  <si>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</si>
  <si>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</si>
  <si>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</si>
  <si>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</si>
  <si>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Oaxaca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</si>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</sst>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39F5AE4A-7F28-4E9E-88A2-26B71B4B0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79A0F268-ECCF-452D-977B-8FAAD508C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145F002B-9268-409F-94BD-E9944252D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2FEC-2923-4F04-AC35-834D5D696BD1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5" t="s">
        <v>39</v>
      </c>
      <c r="B7" s="145"/>
      <c r="C7" s="145"/>
      <c r="D7" s="145"/>
      <c r="E7" s="145"/>
      <c r="F7" s="145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5" t="s">
        <v>38</v>
      </c>
      <c r="B8" s="145"/>
      <c r="C8" s="145"/>
      <c r="D8" s="145"/>
      <c r="E8" s="145"/>
      <c r="F8" s="145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6" t="s">
        <v>37</v>
      </c>
      <c r="B11" s="148" t="s">
        <v>36</v>
      </c>
      <c r="C11" s="148"/>
      <c r="D11" s="148"/>
      <c r="E11" s="149" t="s">
        <v>35</v>
      </c>
      <c r="F11" s="149" t="s">
        <v>34</v>
      </c>
    </row>
    <row r="12" spans="1:16" ht="15" customHeight="1" x14ac:dyDescent="0.35">
      <c r="A12" s="147"/>
      <c r="B12" s="83" t="s">
        <v>33</v>
      </c>
      <c r="C12" s="83" t="s">
        <v>32</v>
      </c>
      <c r="D12" s="83" t="s">
        <v>31</v>
      </c>
      <c r="E12" s="147"/>
      <c r="F12" s="147"/>
    </row>
    <row r="13" spans="1:16" ht="18" customHeight="1" x14ac:dyDescent="0.35">
      <c r="A13" s="82" t="s">
        <v>30</v>
      </c>
      <c r="B13" s="81">
        <f t="shared" ref="B13:B44" si="0">C13+D13</f>
        <v>1061363</v>
      </c>
      <c r="C13" s="81">
        <f>C16+C62+C68</f>
        <v>534778</v>
      </c>
      <c r="D13" s="81">
        <f>D16+D62+D68</f>
        <v>526585</v>
      </c>
      <c r="E13" s="81">
        <f>E16+E62+E68</f>
        <v>71879</v>
      </c>
      <c r="F13" s="81">
        <f>F16+F62+F68</f>
        <v>14261</v>
      </c>
    </row>
    <row r="14" spans="1:16" ht="18" customHeight="1" x14ac:dyDescent="0.35">
      <c r="A14" s="40" t="s">
        <v>3</v>
      </c>
      <c r="B14" s="39">
        <f t="shared" si="0"/>
        <v>994354</v>
      </c>
      <c r="C14" s="39">
        <f t="shared" ref="C14:F15" si="1">C17+C66+C71</f>
        <v>498887</v>
      </c>
      <c r="D14" s="39">
        <f t="shared" si="1"/>
        <v>495467</v>
      </c>
      <c r="E14" s="39">
        <f t="shared" si="1"/>
        <v>63301</v>
      </c>
      <c r="F14" s="39">
        <f t="shared" si="1"/>
        <v>13463</v>
      </c>
    </row>
    <row r="15" spans="1:16" ht="18" customHeight="1" x14ac:dyDescent="0.35">
      <c r="A15" s="38" t="s">
        <v>2</v>
      </c>
      <c r="B15" s="37">
        <f t="shared" si="0"/>
        <v>67009</v>
      </c>
      <c r="C15" s="37">
        <f t="shared" si="1"/>
        <v>35891</v>
      </c>
      <c r="D15" s="37">
        <f t="shared" si="1"/>
        <v>31118</v>
      </c>
      <c r="E15" s="37">
        <f t="shared" si="1"/>
        <v>8578</v>
      </c>
      <c r="F15" s="37">
        <f t="shared" si="1"/>
        <v>798</v>
      </c>
    </row>
    <row r="16" spans="1:16" ht="18" customHeight="1" x14ac:dyDescent="0.35">
      <c r="A16" s="43" t="s">
        <v>29</v>
      </c>
      <c r="B16" s="42">
        <f t="shared" si="0"/>
        <v>1049594</v>
      </c>
      <c r="C16" s="42">
        <f>C17+C18</f>
        <v>527944</v>
      </c>
      <c r="D16" s="42">
        <f>D17+D18</f>
        <v>521650</v>
      </c>
      <c r="E16" s="42">
        <f>E17+E18</f>
        <v>70305</v>
      </c>
      <c r="F16" s="41">
        <f>F17+F18</f>
        <v>14184</v>
      </c>
    </row>
    <row r="17" spans="1:6" ht="18" customHeight="1" x14ac:dyDescent="0.35">
      <c r="A17" s="40" t="s">
        <v>3</v>
      </c>
      <c r="B17" s="39">
        <f t="shared" si="0"/>
        <v>989203</v>
      </c>
      <c r="C17" s="39">
        <f t="shared" ref="C17:F18" si="2">C20+C50+C57</f>
        <v>495969</v>
      </c>
      <c r="D17" s="39">
        <f t="shared" si="2"/>
        <v>493234</v>
      </c>
      <c r="E17" s="39">
        <f t="shared" si="2"/>
        <v>62812</v>
      </c>
      <c r="F17" s="39">
        <f t="shared" si="2"/>
        <v>13429</v>
      </c>
    </row>
    <row r="18" spans="1:6" ht="18" customHeight="1" x14ac:dyDescent="0.35">
      <c r="A18" s="38" t="s">
        <v>2</v>
      </c>
      <c r="B18" s="37">
        <f t="shared" si="0"/>
        <v>60391</v>
      </c>
      <c r="C18" s="37">
        <f t="shared" si="2"/>
        <v>31975</v>
      </c>
      <c r="D18" s="37">
        <f t="shared" si="2"/>
        <v>28416</v>
      </c>
      <c r="E18" s="37">
        <f t="shared" si="2"/>
        <v>7493</v>
      </c>
      <c r="F18" s="37">
        <f t="shared" si="2"/>
        <v>755</v>
      </c>
    </row>
    <row r="19" spans="1:6" ht="18" customHeight="1" x14ac:dyDescent="0.35">
      <c r="A19" s="80" t="s">
        <v>28</v>
      </c>
      <c r="B19" s="79">
        <f t="shared" si="0"/>
        <v>834259</v>
      </c>
      <c r="C19" s="79">
        <f>C20+C21</f>
        <v>412733</v>
      </c>
      <c r="D19" s="79">
        <f>D20+D21</f>
        <v>421526</v>
      </c>
      <c r="E19" s="79">
        <f>E20+E21</f>
        <v>51952</v>
      </c>
      <c r="F19" s="78">
        <f>F20+F21</f>
        <v>13225</v>
      </c>
    </row>
    <row r="20" spans="1:6" ht="18" customHeight="1" x14ac:dyDescent="0.35">
      <c r="A20" s="40" t="s">
        <v>3</v>
      </c>
      <c r="B20" s="39">
        <f t="shared" si="0"/>
        <v>801402</v>
      </c>
      <c r="C20" s="39">
        <f t="shared" ref="C20:F21" si="3">C25+C31+C37+C43</f>
        <v>396400</v>
      </c>
      <c r="D20" s="39">
        <f t="shared" si="3"/>
        <v>405002</v>
      </c>
      <c r="E20" s="39">
        <f t="shared" si="3"/>
        <v>48832</v>
      </c>
      <c r="F20" s="77">
        <f t="shared" si="3"/>
        <v>12668</v>
      </c>
    </row>
    <row r="21" spans="1:6" ht="18" customHeight="1" x14ac:dyDescent="0.35">
      <c r="A21" s="76" t="s">
        <v>2</v>
      </c>
      <c r="B21" s="75">
        <f t="shared" si="0"/>
        <v>32857</v>
      </c>
      <c r="C21" s="75">
        <f t="shared" si="3"/>
        <v>16333</v>
      </c>
      <c r="D21" s="75">
        <f t="shared" si="3"/>
        <v>16524</v>
      </c>
      <c r="E21" s="75">
        <f t="shared" si="3"/>
        <v>3120</v>
      </c>
      <c r="F21" s="74">
        <f t="shared" si="3"/>
        <v>557</v>
      </c>
    </row>
    <row r="22" spans="1:6" ht="18" customHeight="1" x14ac:dyDescent="0.35">
      <c r="A22" s="69" t="s">
        <v>27</v>
      </c>
      <c r="B22" s="68">
        <f t="shared" si="0"/>
        <v>7703</v>
      </c>
      <c r="C22" s="68">
        <f>C23+C24</f>
        <v>3852</v>
      </c>
      <c r="D22" s="68">
        <f>D23+D24</f>
        <v>3851</v>
      </c>
      <c r="E22" s="68">
        <f>E23+E24</f>
        <v>377</v>
      </c>
      <c r="F22" s="67">
        <f>F23+F24</f>
        <v>341</v>
      </c>
    </row>
    <row r="23" spans="1:6" ht="18" customHeight="1" x14ac:dyDescent="0.35">
      <c r="A23" s="72" t="s">
        <v>23</v>
      </c>
      <c r="B23" s="49">
        <f t="shared" si="0"/>
        <v>846</v>
      </c>
      <c r="C23" s="49">
        <v>436</v>
      </c>
      <c r="D23" s="49">
        <v>410</v>
      </c>
      <c r="E23" s="49">
        <v>35</v>
      </c>
      <c r="F23" s="9">
        <v>28</v>
      </c>
    </row>
    <row r="24" spans="1:6" ht="18" customHeight="1" x14ac:dyDescent="0.35">
      <c r="A24" s="73" t="s">
        <v>22</v>
      </c>
      <c r="B24" s="50">
        <f t="shared" si="0"/>
        <v>6857</v>
      </c>
      <c r="C24" s="50">
        <v>3416</v>
      </c>
      <c r="D24" s="50">
        <v>3441</v>
      </c>
      <c r="E24" s="50">
        <v>342</v>
      </c>
      <c r="F24" s="46">
        <v>313</v>
      </c>
    </row>
    <row r="25" spans="1:6" ht="18" customHeight="1" x14ac:dyDescent="0.35">
      <c r="A25" s="34" t="s">
        <v>3</v>
      </c>
      <c r="B25" s="11">
        <f t="shared" si="0"/>
        <v>7316</v>
      </c>
      <c r="C25" s="11">
        <v>3659</v>
      </c>
      <c r="D25" s="11">
        <v>3657</v>
      </c>
      <c r="E25" s="11">
        <v>366</v>
      </c>
      <c r="F25" s="9">
        <v>331</v>
      </c>
    </row>
    <row r="26" spans="1:6" ht="18" customHeight="1" x14ac:dyDescent="0.35">
      <c r="A26" s="58" t="s">
        <v>2</v>
      </c>
      <c r="B26" s="57">
        <f t="shared" si="0"/>
        <v>387</v>
      </c>
      <c r="C26" s="57">
        <v>193</v>
      </c>
      <c r="D26" s="57">
        <v>194</v>
      </c>
      <c r="E26" s="57">
        <v>11</v>
      </c>
      <c r="F26" s="56">
        <v>10</v>
      </c>
    </row>
    <row r="27" spans="1:6" ht="18" customHeight="1" x14ac:dyDescent="0.35">
      <c r="A27" s="69" t="s">
        <v>26</v>
      </c>
      <c r="B27" s="68">
        <f t="shared" si="0"/>
        <v>155630</v>
      </c>
      <c r="C27" s="68">
        <f>C28+C29+C30</f>
        <v>77332</v>
      </c>
      <c r="D27" s="68">
        <f>D28+D29+D30</f>
        <v>78298</v>
      </c>
      <c r="E27" s="68">
        <f>E28+E29+E30</f>
        <v>10641</v>
      </c>
      <c r="F27" s="67">
        <f>F28+F29+F30</f>
        <v>4749</v>
      </c>
    </row>
    <row r="28" spans="1:6" ht="18" customHeight="1" x14ac:dyDescent="0.35">
      <c r="A28" s="72" t="s">
        <v>25</v>
      </c>
      <c r="B28" s="49">
        <f t="shared" si="0"/>
        <v>82792</v>
      </c>
      <c r="C28" s="49">
        <v>41265</v>
      </c>
      <c r="D28" s="49">
        <v>41527</v>
      </c>
      <c r="E28" s="49">
        <v>6077</v>
      </c>
      <c r="F28" s="9">
        <v>2116</v>
      </c>
    </row>
    <row r="29" spans="1:6" ht="18" customHeight="1" x14ac:dyDescent="0.35">
      <c r="A29" s="73" t="s">
        <v>22</v>
      </c>
      <c r="B29" s="50">
        <f t="shared" si="0"/>
        <v>67860</v>
      </c>
      <c r="C29" s="50">
        <v>33604</v>
      </c>
      <c r="D29" s="50">
        <v>34256</v>
      </c>
      <c r="E29" s="50">
        <v>3753</v>
      </c>
      <c r="F29" s="46">
        <v>1835</v>
      </c>
    </row>
    <row r="30" spans="1:6" ht="18" customHeight="1" x14ac:dyDescent="0.35">
      <c r="A30" s="72" t="s">
        <v>21</v>
      </c>
      <c r="B30" s="49">
        <f t="shared" si="0"/>
        <v>4978</v>
      </c>
      <c r="C30" s="49">
        <v>2463</v>
      </c>
      <c r="D30" s="49">
        <v>2515</v>
      </c>
      <c r="E30" s="49">
        <v>811</v>
      </c>
      <c r="F30" s="9">
        <v>798</v>
      </c>
    </row>
    <row r="31" spans="1:6" ht="18" customHeight="1" x14ac:dyDescent="0.35">
      <c r="A31" s="71" t="s">
        <v>3</v>
      </c>
      <c r="B31" s="66">
        <f t="shared" si="0"/>
        <v>149483</v>
      </c>
      <c r="C31" s="66">
        <v>74297</v>
      </c>
      <c r="D31" s="66">
        <v>75186</v>
      </c>
      <c r="E31" s="66">
        <v>9981</v>
      </c>
      <c r="F31" s="70">
        <v>4506</v>
      </c>
    </row>
    <row r="32" spans="1:6" ht="18" customHeight="1" x14ac:dyDescent="0.35">
      <c r="A32" s="30" t="s">
        <v>2</v>
      </c>
      <c r="B32" s="44">
        <f t="shared" si="0"/>
        <v>6147</v>
      </c>
      <c r="C32" s="44">
        <v>3035</v>
      </c>
      <c r="D32" s="44">
        <v>3112</v>
      </c>
      <c r="E32" s="44">
        <v>660</v>
      </c>
      <c r="F32" s="27">
        <v>243</v>
      </c>
    </row>
    <row r="33" spans="1:6" ht="18" customHeight="1" x14ac:dyDescent="0.35">
      <c r="A33" s="69" t="s">
        <v>24</v>
      </c>
      <c r="B33" s="68">
        <f t="shared" si="0"/>
        <v>457931</v>
      </c>
      <c r="C33" s="68">
        <f>C34+C35+C36</f>
        <v>225626</v>
      </c>
      <c r="D33" s="68">
        <f>D34+D35+D36</f>
        <v>232305</v>
      </c>
      <c r="E33" s="68">
        <f>E34+E35+E36</f>
        <v>26321</v>
      </c>
      <c r="F33" s="67">
        <f>F34+F35+F36</f>
        <v>5491</v>
      </c>
    </row>
    <row r="34" spans="1:6" ht="18" customHeight="1" x14ac:dyDescent="0.35">
      <c r="A34" s="72" t="s">
        <v>23</v>
      </c>
      <c r="B34" s="49">
        <f t="shared" si="0"/>
        <v>332491</v>
      </c>
      <c r="C34" s="49">
        <v>163568</v>
      </c>
      <c r="D34" s="49">
        <v>168923</v>
      </c>
      <c r="E34" s="49">
        <v>18600</v>
      </c>
      <c r="F34" s="9">
        <v>3042</v>
      </c>
    </row>
    <row r="35" spans="1:6" ht="18" customHeight="1" x14ac:dyDescent="0.35">
      <c r="A35" s="73" t="s">
        <v>22</v>
      </c>
      <c r="B35" s="50">
        <f t="shared" si="0"/>
        <v>118989</v>
      </c>
      <c r="C35" s="50">
        <v>58907</v>
      </c>
      <c r="D35" s="50">
        <v>60082</v>
      </c>
      <c r="E35" s="50">
        <v>6957</v>
      </c>
      <c r="F35" s="46">
        <v>1766</v>
      </c>
    </row>
    <row r="36" spans="1:6" ht="18" customHeight="1" x14ac:dyDescent="0.35">
      <c r="A36" s="72" t="s">
        <v>21</v>
      </c>
      <c r="B36" s="49">
        <f t="shared" si="0"/>
        <v>6451</v>
      </c>
      <c r="C36" s="49">
        <v>3151</v>
      </c>
      <c r="D36" s="49">
        <v>3300</v>
      </c>
      <c r="E36" s="49">
        <v>764</v>
      </c>
      <c r="F36" s="9">
        <v>683</v>
      </c>
    </row>
    <row r="37" spans="1:6" ht="18" customHeight="1" x14ac:dyDescent="0.35">
      <c r="A37" s="71" t="s">
        <v>3</v>
      </c>
      <c r="B37" s="66">
        <f t="shared" si="0"/>
        <v>439384</v>
      </c>
      <c r="C37" s="66">
        <v>216403</v>
      </c>
      <c r="D37" s="66">
        <v>222981</v>
      </c>
      <c r="E37" s="66">
        <v>25104</v>
      </c>
      <c r="F37" s="70">
        <v>5306</v>
      </c>
    </row>
    <row r="38" spans="1:6" ht="18" customHeight="1" x14ac:dyDescent="0.35">
      <c r="A38" s="30" t="s">
        <v>2</v>
      </c>
      <c r="B38" s="44">
        <f t="shared" si="0"/>
        <v>18547</v>
      </c>
      <c r="C38" s="44">
        <v>9223</v>
      </c>
      <c r="D38" s="44">
        <v>9324</v>
      </c>
      <c r="E38" s="44">
        <v>1217</v>
      </c>
      <c r="F38" s="27">
        <v>185</v>
      </c>
    </row>
    <row r="39" spans="1:6" ht="18" customHeight="1" x14ac:dyDescent="0.35">
      <c r="A39" s="69" t="s">
        <v>20</v>
      </c>
      <c r="B39" s="68">
        <f t="shared" si="0"/>
        <v>212995</v>
      </c>
      <c r="C39" s="68">
        <f>C40+C41+C42</f>
        <v>105923</v>
      </c>
      <c r="D39" s="68">
        <f>D40+D41+D42</f>
        <v>107072</v>
      </c>
      <c r="E39" s="68">
        <f>E40+E41+E42</f>
        <v>14613</v>
      </c>
      <c r="F39" s="67">
        <f>F40+F41+F42</f>
        <v>2644</v>
      </c>
    </row>
    <row r="40" spans="1:6" ht="18" customHeight="1" x14ac:dyDescent="0.35">
      <c r="A40" s="61" t="s">
        <v>19</v>
      </c>
      <c r="B40" s="11">
        <f t="shared" si="0"/>
        <v>65121</v>
      </c>
      <c r="C40" s="49">
        <v>32694</v>
      </c>
      <c r="D40" s="49">
        <v>32427</v>
      </c>
      <c r="E40" s="11">
        <v>5068</v>
      </c>
      <c r="F40" s="9">
        <v>788</v>
      </c>
    </row>
    <row r="41" spans="1:6" ht="18" customHeight="1" x14ac:dyDescent="0.35">
      <c r="A41" s="62" t="s">
        <v>18</v>
      </c>
      <c r="B41" s="50">
        <f t="shared" si="0"/>
        <v>83519</v>
      </c>
      <c r="C41" s="50">
        <v>41058</v>
      </c>
      <c r="D41" s="50">
        <v>42461</v>
      </c>
      <c r="E41" s="50">
        <v>5687</v>
      </c>
      <c r="F41" s="46">
        <v>1569</v>
      </c>
    </row>
    <row r="42" spans="1:6" ht="18" customHeight="1" x14ac:dyDescent="0.35">
      <c r="A42" s="61" t="s">
        <v>17</v>
      </c>
      <c r="B42" s="49">
        <f t="shared" si="0"/>
        <v>64355</v>
      </c>
      <c r="C42" s="49">
        <v>32171</v>
      </c>
      <c r="D42" s="49">
        <v>32184</v>
      </c>
      <c r="E42" s="49">
        <v>3858</v>
      </c>
      <c r="F42" s="9">
        <v>287</v>
      </c>
    </row>
    <row r="43" spans="1:6" ht="18" customHeight="1" x14ac:dyDescent="0.35">
      <c r="A43" s="62" t="s">
        <v>3</v>
      </c>
      <c r="B43" s="66">
        <f t="shared" si="0"/>
        <v>205219</v>
      </c>
      <c r="C43" s="47">
        <v>102041</v>
      </c>
      <c r="D43" s="47">
        <v>103178</v>
      </c>
      <c r="E43" s="47">
        <v>13381</v>
      </c>
      <c r="F43" s="46">
        <v>2525</v>
      </c>
    </row>
    <row r="44" spans="1:6" ht="18" customHeight="1" x14ac:dyDescent="0.35">
      <c r="A44" s="30" t="s">
        <v>2</v>
      </c>
      <c r="B44" s="44">
        <f t="shared" si="0"/>
        <v>7776</v>
      </c>
      <c r="C44" s="44">
        <v>3882</v>
      </c>
      <c r="D44" s="44">
        <v>3894</v>
      </c>
      <c r="E44" s="44">
        <v>1232</v>
      </c>
      <c r="F44" s="27">
        <v>119</v>
      </c>
    </row>
    <row r="45" spans="1:6" ht="18" customHeight="1" x14ac:dyDescent="0.35">
      <c r="A45" s="65" t="s">
        <v>16</v>
      </c>
      <c r="B45" s="64">
        <f t="shared" ref="B45:B72" si="4">C45+D45</f>
        <v>139980</v>
      </c>
      <c r="C45" s="64">
        <f>C46+C47+C48+C49</f>
        <v>73825</v>
      </c>
      <c r="D45" s="64">
        <f>D46+D47+D48+D49</f>
        <v>66155</v>
      </c>
      <c r="E45" s="64">
        <f>E46+E47+E48+E49</f>
        <v>10905</v>
      </c>
      <c r="F45" s="63">
        <f>F46+F47+F48+F49</f>
        <v>803</v>
      </c>
    </row>
    <row r="46" spans="1:6" ht="18" customHeight="1" x14ac:dyDescent="0.35">
      <c r="A46" s="61" t="s">
        <v>9</v>
      </c>
      <c r="B46" s="59">
        <f t="shared" si="4"/>
        <v>89564</v>
      </c>
      <c r="C46" s="49">
        <v>47974</v>
      </c>
      <c r="D46" s="49">
        <v>41590</v>
      </c>
      <c r="E46" s="49">
        <v>5326</v>
      </c>
      <c r="F46" s="9">
        <v>681</v>
      </c>
    </row>
    <row r="47" spans="1:6" ht="18" customHeight="1" x14ac:dyDescent="0.35">
      <c r="A47" s="62" t="s">
        <v>8</v>
      </c>
      <c r="B47" s="47">
        <f t="shared" si="4"/>
        <v>44281</v>
      </c>
      <c r="C47" s="50">
        <v>22633</v>
      </c>
      <c r="D47" s="50">
        <v>21648</v>
      </c>
      <c r="E47" s="50">
        <v>4404</v>
      </c>
      <c r="F47" s="46">
        <v>110</v>
      </c>
    </row>
    <row r="48" spans="1:6" ht="18" customHeight="1" x14ac:dyDescent="0.35">
      <c r="A48" s="61" t="s">
        <v>15</v>
      </c>
      <c r="B48" s="11">
        <f t="shared" si="4"/>
        <v>5832</v>
      </c>
      <c r="C48" s="11">
        <v>3076</v>
      </c>
      <c r="D48" s="11">
        <v>2756</v>
      </c>
      <c r="E48" s="11">
        <v>1147</v>
      </c>
      <c r="F48" s="9">
        <v>9</v>
      </c>
    </row>
    <row r="49" spans="1:6" ht="18" customHeight="1" x14ac:dyDescent="0.35">
      <c r="A49" s="48" t="s">
        <v>7</v>
      </c>
      <c r="B49" s="47">
        <f t="shared" si="4"/>
        <v>303</v>
      </c>
      <c r="C49" s="50">
        <v>142</v>
      </c>
      <c r="D49" s="60">
        <v>161</v>
      </c>
      <c r="E49" s="47">
        <v>28</v>
      </c>
      <c r="F49" s="46">
        <v>3</v>
      </c>
    </row>
    <row r="50" spans="1:6" ht="18" customHeight="1" x14ac:dyDescent="0.35">
      <c r="A50" s="34" t="s">
        <v>3</v>
      </c>
      <c r="B50" s="59">
        <f t="shared" si="4"/>
        <v>129214</v>
      </c>
      <c r="C50" s="59">
        <v>68338</v>
      </c>
      <c r="D50" s="59">
        <v>60876</v>
      </c>
      <c r="E50" s="59">
        <v>9512</v>
      </c>
      <c r="F50" s="9">
        <v>689</v>
      </c>
    </row>
    <row r="51" spans="1:6" ht="18" customHeight="1" x14ac:dyDescent="0.35">
      <c r="A51" s="58" t="s">
        <v>2</v>
      </c>
      <c r="B51" s="57">
        <f t="shared" si="4"/>
        <v>10766</v>
      </c>
      <c r="C51" s="57">
        <v>5487</v>
      </c>
      <c r="D51" s="57">
        <v>5279</v>
      </c>
      <c r="E51" s="57">
        <v>1393</v>
      </c>
      <c r="F51" s="56">
        <v>114</v>
      </c>
    </row>
    <row r="52" spans="1:6" ht="18" customHeight="1" x14ac:dyDescent="0.35">
      <c r="A52" s="55" t="s">
        <v>14</v>
      </c>
      <c r="B52" s="54">
        <f t="shared" si="4"/>
        <v>75355</v>
      </c>
      <c r="C52" s="54">
        <f>C54+C55+C56</f>
        <v>41386</v>
      </c>
      <c r="D52" s="54">
        <f>D54+D55+D56</f>
        <v>33969</v>
      </c>
      <c r="E52" s="54">
        <f>E54+E55+E56</f>
        <v>7448</v>
      </c>
      <c r="F52" s="53">
        <f>F57+F58</f>
        <v>156</v>
      </c>
    </row>
    <row r="53" spans="1:6" ht="18" customHeight="1" x14ac:dyDescent="0.35">
      <c r="A53" s="48" t="s">
        <v>5</v>
      </c>
      <c r="B53" s="47">
        <f t="shared" si="4"/>
        <v>72632</v>
      </c>
      <c r="C53" s="50">
        <f>C54+C55</f>
        <v>39822</v>
      </c>
      <c r="D53" s="47">
        <f>D54+D55</f>
        <v>32810</v>
      </c>
      <c r="E53" s="47">
        <f>E54+E55</f>
        <v>6734</v>
      </c>
      <c r="F53" s="46">
        <f>F54+F55</f>
        <v>144</v>
      </c>
    </row>
    <row r="54" spans="1:6" ht="18" customHeight="1" x14ac:dyDescent="0.35">
      <c r="A54" s="52" t="s">
        <v>13</v>
      </c>
      <c r="B54" s="11">
        <f t="shared" si="4"/>
        <v>4555</v>
      </c>
      <c r="C54" s="49">
        <v>3150</v>
      </c>
      <c r="D54" s="11">
        <v>1405</v>
      </c>
      <c r="E54" s="11">
        <v>441</v>
      </c>
      <c r="F54" s="9">
        <v>12</v>
      </c>
    </row>
    <row r="55" spans="1:6" ht="18" customHeight="1" x14ac:dyDescent="0.35">
      <c r="A55" s="51" t="s">
        <v>12</v>
      </c>
      <c r="B55" s="47">
        <f t="shared" si="4"/>
        <v>68077</v>
      </c>
      <c r="C55" s="50">
        <v>36672</v>
      </c>
      <c r="D55" s="47">
        <v>31405</v>
      </c>
      <c r="E55" s="47">
        <v>6293</v>
      </c>
      <c r="F55" s="46">
        <v>132</v>
      </c>
    </row>
    <row r="56" spans="1:6" ht="18" customHeight="1" x14ac:dyDescent="0.35">
      <c r="A56" s="34" t="s">
        <v>4</v>
      </c>
      <c r="B56" s="11">
        <f t="shared" si="4"/>
        <v>2723</v>
      </c>
      <c r="C56" s="49">
        <v>1564</v>
      </c>
      <c r="D56" s="11">
        <v>1159</v>
      </c>
      <c r="E56" s="11">
        <v>714</v>
      </c>
      <c r="F56" s="9">
        <v>55</v>
      </c>
    </row>
    <row r="57" spans="1:6" ht="18" customHeight="1" x14ac:dyDescent="0.35">
      <c r="A57" s="48" t="s">
        <v>3</v>
      </c>
      <c r="B57" s="47">
        <f t="shared" si="4"/>
        <v>58587</v>
      </c>
      <c r="C57" s="47">
        <v>31231</v>
      </c>
      <c r="D57" s="47">
        <v>27356</v>
      </c>
      <c r="E57" s="47">
        <v>4468</v>
      </c>
      <c r="F57" s="46">
        <v>72</v>
      </c>
    </row>
    <row r="58" spans="1:6" ht="18" customHeight="1" x14ac:dyDescent="0.35">
      <c r="A58" s="30" t="s">
        <v>2</v>
      </c>
      <c r="B58" s="45">
        <f t="shared" si="4"/>
        <v>16768</v>
      </c>
      <c r="C58" s="44">
        <v>10155</v>
      </c>
      <c r="D58" s="44">
        <v>6613</v>
      </c>
      <c r="E58" s="44">
        <v>2980</v>
      </c>
      <c r="F58" s="27">
        <v>84</v>
      </c>
    </row>
    <row r="59" spans="1:6" ht="18" customHeight="1" x14ac:dyDescent="0.35">
      <c r="A59" s="43" t="s">
        <v>11</v>
      </c>
      <c r="B59" s="42">
        <f t="shared" si="4"/>
        <v>11769</v>
      </c>
      <c r="C59" s="42">
        <f>C60+C61</f>
        <v>6834</v>
      </c>
      <c r="D59" s="42">
        <f>D60+D61</f>
        <v>4935</v>
      </c>
      <c r="E59" s="42">
        <f>E60+E61</f>
        <v>1574</v>
      </c>
      <c r="F59" s="41">
        <f>F60+F61</f>
        <v>77</v>
      </c>
    </row>
    <row r="60" spans="1:6" ht="18" customHeight="1" x14ac:dyDescent="0.35">
      <c r="A60" s="40" t="s">
        <v>3</v>
      </c>
      <c r="B60" s="39">
        <f t="shared" si="4"/>
        <v>5151</v>
      </c>
      <c r="C60" s="39">
        <f t="shared" ref="C60:F61" si="5">C66+C71</f>
        <v>2918</v>
      </c>
      <c r="D60" s="39">
        <f t="shared" si="5"/>
        <v>2233</v>
      </c>
      <c r="E60" s="39">
        <f t="shared" si="5"/>
        <v>489</v>
      </c>
      <c r="F60" s="39">
        <f t="shared" si="5"/>
        <v>34</v>
      </c>
    </row>
    <row r="61" spans="1:6" ht="18" customHeight="1" x14ac:dyDescent="0.35">
      <c r="A61" s="38" t="s">
        <v>2</v>
      </c>
      <c r="B61" s="37">
        <f t="shared" si="4"/>
        <v>6618</v>
      </c>
      <c r="C61" s="37">
        <f t="shared" si="5"/>
        <v>3916</v>
      </c>
      <c r="D61" s="37">
        <f t="shared" si="5"/>
        <v>2702</v>
      </c>
      <c r="E61" s="37">
        <f t="shared" si="5"/>
        <v>1085</v>
      </c>
      <c r="F61" s="37">
        <f t="shared" si="5"/>
        <v>43</v>
      </c>
    </row>
    <row r="62" spans="1:6" x14ac:dyDescent="0.35">
      <c r="A62" s="26" t="s">
        <v>10</v>
      </c>
      <c r="B62" s="25">
        <f t="shared" si="4"/>
        <v>2934</v>
      </c>
      <c r="C62" s="25">
        <f>C63+C64+C65</f>
        <v>1504</v>
      </c>
      <c r="D62" s="25">
        <f>D63+D64+D65</f>
        <v>1430</v>
      </c>
      <c r="E62" s="25">
        <f>E63+E64+E65</f>
        <v>43</v>
      </c>
      <c r="F62" s="24">
        <f>F66+F67</f>
        <v>6</v>
      </c>
    </row>
    <row r="63" spans="1:6" x14ac:dyDescent="0.35">
      <c r="A63" s="36" t="s">
        <v>9</v>
      </c>
      <c r="B63" s="21">
        <f t="shared" si="4"/>
        <v>2934</v>
      </c>
      <c r="C63" s="22">
        <v>1504</v>
      </c>
      <c r="D63" s="21">
        <v>1430</v>
      </c>
      <c r="E63" s="20">
        <v>43</v>
      </c>
      <c r="F63" s="19">
        <v>6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2934</v>
      </c>
      <c r="C66" s="15">
        <v>1504</v>
      </c>
      <c r="D66" s="15">
        <v>1430</v>
      </c>
      <c r="E66" s="31">
        <v>43</v>
      </c>
      <c r="F66" s="13">
        <v>6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8835</v>
      </c>
      <c r="C68" s="25">
        <f>C69+C70</f>
        <v>5330</v>
      </c>
      <c r="D68" s="25">
        <f>D69+D70</f>
        <v>3505</v>
      </c>
      <c r="E68" s="25">
        <f>E71+E72</f>
        <v>1531</v>
      </c>
      <c r="F68" s="24">
        <f>F71+F72</f>
        <v>71</v>
      </c>
    </row>
    <row r="69" spans="1:15" x14ac:dyDescent="0.35">
      <c r="A69" s="23" t="s">
        <v>5</v>
      </c>
      <c r="B69" s="21">
        <f t="shared" si="4"/>
        <v>8061</v>
      </c>
      <c r="C69" s="22">
        <v>4862</v>
      </c>
      <c r="D69" s="21">
        <v>3199</v>
      </c>
      <c r="E69" s="20">
        <v>1260</v>
      </c>
      <c r="F69" s="19">
        <v>58</v>
      </c>
      <c r="G69" s="18"/>
    </row>
    <row r="70" spans="1:15" x14ac:dyDescent="0.35">
      <c r="A70" s="17" t="s">
        <v>4</v>
      </c>
      <c r="B70" s="15">
        <f t="shared" si="4"/>
        <v>774</v>
      </c>
      <c r="C70" s="16">
        <v>468</v>
      </c>
      <c r="D70" s="15">
        <v>306</v>
      </c>
      <c r="E70" s="14">
        <v>271</v>
      </c>
      <c r="F70" s="13">
        <v>33</v>
      </c>
    </row>
    <row r="71" spans="1:15" x14ac:dyDescent="0.35">
      <c r="A71" s="12" t="s">
        <v>3</v>
      </c>
      <c r="B71" s="11">
        <f t="shared" si="4"/>
        <v>2217</v>
      </c>
      <c r="C71" s="11">
        <v>1414</v>
      </c>
      <c r="D71" s="11">
        <v>803</v>
      </c>
      <c r="E71" s="10">
        <v>446</v>
      </c>
      <c r="F71" s="9">
        <v>28</v>
      </c>
    </row>
    <row r="72" spans="1:15" x14ac:dyDescent="0.35">
      <c r="A72" s="8" t="s">
        <v>2</v>
      </c>
      <c r="B72" s="6">
        <f t="shared" si="4"/>
        <v>6618</v>
      </c>
      <c r="C72" s="7">
        <v>3916</v>
      </c>
      <c r="D72" s="6">
        <v>2702</v>
      </c>
      <c r="E72" s="5">
        <v>1085</v>
      </c>
      <c r="F72" s="4">
        <v>43</v>
      </c>
    </row>
    <row r="73" spans="1:15" x14ac:dyDescent="0.35">
      <c r="F73" s="3" t="s">
        <v>1</v>
      </c>
    </row>
    <row r="74" spans="1:15" ht="41.1" customHeight="1" x14ac:dyDescent="0.35">
      <c r="A74" s="144" t="s">
        <v>0</v>
      </c>
      <c r="B74" s="144"/>
      <c r="C74" s="144"/>
      <c r="D74" s="144"/>
      <c r="E74" s="144"/>
      <c r="F74" s="144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433C-9A7D-43B3-9D14-E941F49CA31D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8" t="s">
        <v>29</v>
      </c>
      <c r="B7" s="138"/>
      <c r="C7" s="138"/>
      <c r="D7" s="138"/>
      <c r="E7" s="138"/>
      <c r="F7" s="138"/>
      <c r="H7" s="2"/>
      <c r="I7" s="2"/>
    </row>
    <row r="8" spans="1:10" s="1" customFormat="1" ht="15.75" customHeight="1" x14ac:dyDescent="0.35">
      <c r="A8" s="138" t="s">
        <v>76</v>
      </c>
      <c r="B8" s="138"/>
      <c r="C8" s="138"/>
      <c r="D8" s="138"/>
      <c r="E8" s="138"/>
      <c r="F8" s="138"/>
      <c r="H8" s="2"/>
      <c r="I8" s="2"/>
    </row>
    <row r="9" spans="1:10" s="1" customFormat="1" ht="3" customHeight="1" x14ac:dyDescent="0.35">
      <c r="A9" s="143"/>
      <c r="B9" s="142"/>
      <c r="C9" s="141"/>
      <c r="D9" s="140"/>
      <c r="E9" s="141"/>
      <c r="F9" s="140"/>
      <c r="H9" s="137"/>
      <c r="I9" s="2"/>
    </row>
    <row r="10" spans="1:10" s="1" customFormat="1" ht="15.75" customHeight="1" x14ac:dyDescent="0.35">
      <c r="A10" s="139" t="s">
        <v>38</v>
      </c>
      <c r="B10" s="139"/>
      <c r="C10" s="138"/>
      <c r="D10" s="138"/>
      <c r="E10" s="138"/>
      <c r="F10" s="138"/>
      <c r="H10" s="137"/>
      <c r="I10" s="2"/>
    </row>
    <row r="11" spans="1:10" ht="18" customHeight="1" x14ac:dyDescent="0.35">
      <c r="A11" s="150" t="s">
        <v>75</v>
      </c>
      <c r="B11" s="136" t="s">
        <v>74</v>
      </c>
      <c r="C11" s="135" t="s">
        <v>73</v>
      </c>
      <c r="D11" s="134"/>
      <c r="E11" s="135" t="s">
        <v>72</v>
      </c>
      <c r="F11" s="134"/>
    </row>
    <row r="12" spans="1:10" ht="21.75" customHeight="1" x14ac:dyDescent="0.35">
      <c r="A12" s="151"/>
      <c r="B12" s="133" t="s">
        <v>71</v>
      </c>
      <c r="C12" s="132" t="s">
        <v>71</v>
      </c>
      <c r="D12" s="130" t="s">
        <v>70</v>
      </c>
      <c r="E12" s="131" t="s">
        <v>71</v>
      </c>
      <c r="F12" s="130" t="s">
        <v>70</v>
      </c>
    </row>
    <row r="13" spans="1:10" x14ac:dyDescent="0.35">
      <c r="A13" s="129" t="s">
        <v>28</v>
      </c>
      <c r="B13" s="128"/>
      <c r="C13" s="127"/>
      <c r="D13" s="127"/>
      <c r="E13" s="126"/>
      <c r="F13" s="125"/>
      <c r="H13" s="87"/>
    </row>
    <row r="14" spans="1:10" x14ac:dyDescent="0.35">
      <c r="A14" s="104" t="s">
        <v>69</v>
      </c>
      <c r="B14" s="103">
        <v>91.574893632258963</v>
      </c>
      <c r="C14" s="103">
        <v>90.467069590895449</v>
      </c>
      <c r="D14" s="102">
        <v>90.548895792070439</v>
      </c>
      <c r="E14" s="101">
        <v>90.064442027024796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89.77176917142215</v>
      </c>
      <c r="C15" s="108">
        <v>88.935855367568024</v>
      </c>
      <c r="D15" s="107">
        <v>89.822984263753895</v>
      </c>
      <c r="E15" s="106">
        <v>88.540031917302159</v>
      </c>
      <c r="F15" s="105">
        <v>91.436409983971117</v>
      </c>
      <c r="H15" s="87"/>
      <c r="I15" s="87"/>
      <c r="J15" s="87"/>
    </row>
    <row r="16" spans="1:10" x14ac:dyDescent="0.35">
      <c r="A16" s="124" t="s">
        <v>26</v>
      </c>
      <c r="B16" s="123"/>
      <c r="C16" s="123"/>
      <c r="D16" s="123"/>
      <c r="E16" s="123"/>
      <c r="F16" s="122"/>
      <c r="H16" s="87"/>
      <c r="I16" s="87"/>
      <c r="J16" s="87"/>
    </row>
    <row r="17" spans="1:10" x14ac:dyDescent="0.35">
      <c r="A17" s="104" t="s">
        <v>67</v>
      </c>
      <c r="B17" s="103">
        <v>44.555597784775763</v>
      </c>
      <c r="C17" s="103">
        <v>46.082122759697143</v>
      </c>
      <c r="D17" s="102">
        <v>38.580942141638275</v>
      </c>
      <c r="E17" s="101">
        <v>46.108586660773724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73.924629878869453</v>
      </c>
      <c r="C18" s="108">
        <v>75.44782117121413</v>
      </c>
      <c r="D18" s="107">
        <v>77.998743134706629</v>
      </c>
      <c r="E18" s="106">
        <v>75.358256735776209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89.378906769517215</v>
      </c>
      <c r="C19" s="103">
        <v>89.108509862691889</v>
      </c>
      <c r="D19" s="102">
        <v>73.121669901048492</v>
      </c>
      <c r="E19" s="101">
        <v>89.566310496543053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69.436104713168007</v>
      </c>
      <c r="C20" s="108">
        <v>70.309956238804617</v>
      </c>
      <c r="D20" s="107">
        <v>63.307350306076884</v>
      </c>
      <c r="E20" s="106">
        <v>70.422032128661186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69.709000636309042</v>
      </c>
      <c r="C21" s="103">
        <v>70.57569779833571</v>
      </c>
      <c r="D21" s="102">
        <v>63.672054942229941</v>
      </c>
      <c r="E21" s="101">
        <v>70.68809187991134</v>
      </c>
      <c r="F21" s="100">
        <v>71.858408255034533</v>
      </c>
      <c r="H21" s="87"/>
      <c r="I21" s="87"/>
      <c r="J21" s="87"/>
    </row>
    <row r="22" spans="1:10" x14ac:dyDescent="0.35">
      <c r="A22" s="124" t="s">
        <v>24</v>
      </c>
      <c r="B22" s="123"/>
      <c r="C22" s="123"/>
      <c r="D22" s="123"/>
      <c r="E22" s="123"/>
      <c r="F22" s="122"/>
      <c r="H22" s="87"/>
      <c r="I22" s="87"/>
      <c r="J22" s="87"/>
    </row>
    <row r="23" spans="1:10" x14ac:dyDescent="0.35">
      <c r="A23" s="104" t="s">
        <v>50</v>
      </c>
      <c r="B23" s="103">
        <v>-1.5164701508734169</v>
      </c>
      <c r="C23" s="103">
        <v>-1.9871989448192018</v>
      </c>
      <c r="D23" s="102">
        <v>0.43876962396363073</v>
      </c>
      <c r="E23" s="103">
        <v>-2.0953464176762138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1.2475531941937623</v>
      </c>
      <c r="C24" s="108">
        <v>1.1244494638209979</v>
      </c>
      <c r="D24" s="107">
        <v>0.47104009397397339</v>
      </c>
      <c r="E24" s="108">
        <v>1.0133099161458103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92.685893387598526</v>
      </c>
      <c r="C25" s="103">
        <v>91.072937200788502</v>
      </c>
      <c r="D25" s="102">
        <v>96.9551648474215</v>
      </c>
      <c r="E25" s="103">
        <v>89.379058156161364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101.28698319381431</v>
      </c>
      <c r="C26" s="108">
        <v>99.676375404530745</v>
      </c>
      <c r="D26" s="107">
        <v>101.9341223948949</v>
      </c>
      <c r="E26" s="108">
        <v>98.548776863135316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100.28273120063787</v>
      </c>
      <c r="C27" s="103">
        <v>99.616267307671393</v>
      </c>
      <c r="D27" s="102">
        <v>101.72046958709984</v>
      </c>
      <c r="E27" s="103">
        <v>99.761630412792783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95.03905871197837</v>
      </c>
      <c r="C28" s="108">
        <v>94.349514351907231</v>
      </c>
      <c r="D28" s="107">
        <v>96.314695429046509</v>
      </c>
      <c r="E28" s="108">
        <v>94.487153550475426</v>
      </c>
      <c r="F28" s="105">
        <v>95.816612827648669</v>
      </c>
      <c r="H28" s="87"/>
      <c r="I28" s="87"/>
      <c r="J28" s="87"/>
    </row>
    <row r="29" spans="1:10" x14ac:dyDescent="0.35">
      <c r="A29" s="124" t="s">
        <v>20</v>
      </c>
      <c r="B29" s="123"/>
      <c r="C29" s="123"/>
      <c r="D29" s="123"/>
      <c r="E29" s="123"/>
      <c r="F29" s="122"/>
      <c r="H29" s="87"/>
      <c r="I29" s="87"/>
      <c r="J29" s="87"/>
    </row>
    <row r="30" spans="1:10" x14ac:dyDescent="0.35">
      <c r="A30" s="104" t="s">
        <v>51</v>
      </c>
      <c r="B30" s="103">
        <v>90.138826472981677</v>
      </c>
      <c r="C30" s="103">
        <v>90.766163629939939</v>
      </c>
      <c r="D30" s="102">
        <v>93.105822485612947</v>
      </c>
      <c r="E30" s="101">
        <v>91.35358688930117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6.0079909238889169</v>
      </c>
      <c r="C31" s="108">
        <v>4.9052794666541448</v>
      </c>
      <c r="D31" s="107">
        <v>2.54778221710249</v>
      </c>
      <c r="E31" s="106">
        <v>4.0820949837805482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1.2097155278329108</v>
      </c>
      <c r="C32" s="103">
        <v>1.0199982363142901</v>
      </c>
      <c r="D32" s="102">
        <v>2.2384648038226818</v>
      </c>
      <c r="E32" s="101">
        <v>0.86032995126628098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87.670111531771212</v>
      </c>
      <c r="C33" s="108">
        <v>87.560875277007383</v>
      </c>
      <c r="D33" s="107">
        <v>92.865387576774694</v>
      </c>
      <c r="E33" s="106">
        <v>84.776457272212795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88.346974286266672</v>
      </c>
      <c r="C34" s="103">
        <v>85.314766688646685</v>
      </c>
      <c r="D34" s="102">
        <v>91.876923795994145</v>
      </c>
      <c r="E34" s="101">
        <v>81.616874440567159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95.154036525004273</v>
      </c>
      <c r="C35" s="108">
        <v>91.240297458919486</v>
      </c>
      <c r="D35" s="107">
        <v>94.670888333927934</v>
      </c>
      <c r="E35" s="106">
        <v>89.295721301385484</v>
      </c>
      <c r="F35" s="105">
        <v>94.056932269296951</v>
      </c>
      <c r="G35" s="113"/>
      <c r="H35" s="87"/>
      <c r="I35" s="87"/>
      <c r="J35" s="87"/>
    </row>
    <row r="36" spans="1:10" x14ac:dyDescent="0.35">
      <c r="A36" s="104" t="s">
        <v>59</v>
      </c>
      <c r="B36" s="103">
        <v>82.258064516129039</v>
      </c>
      <c r="C36" s="103">
        <v>79.362502356025431</v>
      </c>
      <c r="D36" s="102">
        <v>83.855666307503625</v>
      </c>
      <c r="E36" s="101">
        <v>77.671227570296594</v>
      </c>
      <c r="F36" s="121">
        <v>83.305904438452842</v>
      </c>
      <c r="H36" s="87"/>
      <c r="I36" s="87"/>
      <c r="J36" s="87"/>
    </row>
    <row r="37" spans="1:10" x14ac:dyDescent="0.35">
      <c r="A37" s="120" t="s">
        <v>10</v>
      </c>
      <c r="B37" s="119"/>
      <c r="C37" s="119"/>
      <c r="D37" s="119"/>
      <c r="E37" s="119"/>
      <c r="F37" s="118"/>
      <c r="H37" s="87"/>
      <c r="I37" s="87"/>
      <c r="J37" s="87"/>
    </row>
    <row r="38" spans="1:10" x14ac:dyDescent="0.35">
      <c r="A38" s="104" t="s">
        <v>51</v>
      </c>
      <c r="B38" s="103">
        <v>77.281865701648584</v>
      </c>
      <c r="C38" s="103">
        <v>79.276085434173666</v>
      </c>
      <c r="D38" s="102">
        <v>90.303209142071765</v>
      </c>
      <c r="E38" s="101">
        <v>80.200045464878372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15.043834336438833</v>
      </c>
      <c r="C39" s="108">
        <v>10.068581225889417</v>
      </c>
      <c r="D39" s="107">
        <v>9.2482325469735116</v>
      </c>
      <c r="E39" s="106">
        <v>10.106815869786367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10.653362135899936</v>
      </c>
      <c r="C40" s="103">
        <v>10.555700816709479</v>
      </c>
      <c r="D40" s="102">
        <v>12.053771184956375</v>
      </c>
      <c r="E40" s="101">
        <v>10.457255527909492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62.791773354257863</v>
      </c>
      <c r="C41" s="108">
        <v>70.163543441226579</v>
      </c>
      <c r="D41" s="107">
        <v>70.240267556253883</v>
      </c>
      <c r="E41" s="106">
        <v>71.78348446558644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51.321829768848559</v>
      </c>
      <c r="C42" s="103">
        <v>55.331497279505605</v>
      </c>
      <c r="D42" s="102">
        <v>63.600436314437992</v>
      </c>
      <c r="E42" s="101">
        <v>51.676119642570498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63.363560771953352</v>
      </c>
      <c r="C43" s="108">
        <v>60.91463335030484</v>
      </c>
      <c r="D43" s="107">
        <v>72.862042704061992</v>
      </c>
      <c r="E43" s="106">
        <v>59.999651215513936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64.859840750882654</v>
      </c>
      <c r="C44" s="103">
        <v>62.191412420527683</v>
      </c>
      <c r="D44" s="102">
        <v>78.400458538136903</v>
      </c>
      <c r="E44" s="101">
        <v>61.257455268389663</v>
      </c>
      <c r="F44" s="100">
        <v>78.773452915283144</v>
      </c>
      <c r="H44" s="87"/>
      <c r="I44" s="117"/>
      <c r="J44" s="117"/>
    </row>
    <row r="45" spans="1:10" x14ac:dyDescent="0.35">
      <c r="A45" s="109" t="s">
        <v>53</v>
      </c>
      <c r="B45" s="108">
        <v>53.542182731614304</v>
      </c>
      <c r="C45" s="108">
        <v>51.554633002171478</v>
      </c>
      <c r="D45" s="107">
        <v>60.675903080458362</v>
      </c>
      <c r="E45" s="106">
        <v>49.195179798402563</v>
      </c>
      <c r="F45" s="105">
        <v>59.146954254527095</v>
      </c>
      <c r="H45" s="87"/>
      <c r="I45" s="87"/>
      <c r="J45" s="87"/>
    </row>
    <row r="46" spans="1:10" x14ac:dyDescent="0.35">
      <c r="A46" s="116" t="s">
        <v>52</v>
      </c>
      <c r="B46" s="115"/>
      <c r="C46" s="115"/>
      <c r="D46" s="115"/>
      <c r="E46" s="115"/>
      <c r="F46" s="114"/>
      <c r="H46" s="87"/>
      <c r="I46" s="87"/>
      <c r="J46" s="87"/>
    </row>
    <row r="47" spans="1:10" x14ac:dyDescent="0.35">
      <c r="A47" s="104" t="s">
        <v>51</v>
      </c>
      <c r="B47" s="103">
        <v>47.985817742908871</v>
      </c>
      <c r="C47" s="103">
        <v>50.749532365571568</v>
      </c>
      <c r="D47" s="102">
        <v>68.075095204300098</v>
      </c>
      <c r="E47" s="101">
        <v>50.764518559933883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12.186340524941597</v>
      </c>
      <c r="C48" s="108">
        <v>12.073169051915311</v>
      </c>
      <c r="D48" s="107">
        <v>8.5439504278360232</v>
      </c>
      <c r="E48" s="106">
        <v>12.041282852466551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17.683956574185768</v>
      </c>
      <c r="C49" s="103">
        <v>17.625210213757278</v>
      </c>
      <c r="D49" s="102">
        <v>30.621789759912865</v>
      </c>
      <c r="E49" s="101">
        <v>17.892880634822891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20.323076794243015</v>
      </c>
      <c r="C50" s="108">
        <v>20.229162837073801</v>
      </c>
      <c r="D50" s="107">
        <v>34.484611655840489</v>
      </c>
      <c r="E50" s="106">
        <v>20.527466915356605</v>
      </c>
      <c r="F50" s="105">
        <v>34.683476115270743</v>
      </c>
      <c r="G50" s="113"/>
      <c r="H50" s="87"/>
      <c r="I50" s="87"/>
      <c r="J50" s="87"/>
    </row>
    <row r="51" spans="1:10" x14ac:dyDescent="0.35">
      <c r="A51" s="104" t="s">
        <v>47</v>
      </c>
      <c r="B51" s="103">
        <v>22.114319051593469</v>
      </c>
      <c r="C51" s="103">
        <v>22.474279061735821</v>
      </c>
      <c r="D51" s="102">
        <v>42.545891307303194</v>
      </c>
      <c r="E51" s="101">
        <v>22.80453415045741</v>
      </c>
      <c r="F51" s="100">
        <v>42.84947472301657</v>
      </c>
      <c r="G51" s="113"/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12.709578063796959</v>
      </c>
      <c r="C53" s="108">
        <v>12.466329522199144</v>
      </c>
      <c r="D53" s="107">
        <v>13.596245811879109</v>
      </c>
      <c r="E53" s="106">
        <v>12.370181472075499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8.1199999999999992</v>
      </c>
      <c r="C54" s="103">
        <v>8.2408473960863677</v>
      </c>
      <c r="D54" s="102">
        <v>9.8556313156987496</v>
      </c>
      <c r="E54" s="101">
        <v>8.3616947921727363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11.533122788630585</v>
      </c>
      <c r="C55" s="98">
        <v>11.153158693094731</v>
      </c>
      <c r="D55" s="97">
        <v>4.4889089590471833</v>
      </c>
      <c r="E55" s="96">
        <v>10.681465186727575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2" t="s">
        <v>42</v>
      </c>
      <c r="B57" s="152"/>
      <c r="C57" s="152"/>
      <c r="D57" s="152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Oax</vt:lpstr>
      <vt:lpstr>OAX</vt:lpstr>
      <vt:lpstr>'Est Oax'!Área_de_impresión</vt:lpstr>
      <vt:lpstr>OAX!Área_de_impresión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2022-09-07T17:40:07Z</cp:lastPrinted>
  <dcterms:created xsi:type="dcterms:W3CDTF">2022-09-06T18:57:51Z</dcterms:created>
  <dcterms:modified xsi:type="dcterms:W3CDTF">2022-09-07T19:11:11Z</dcterms:modified>
</cp:coreProperties>
</file>